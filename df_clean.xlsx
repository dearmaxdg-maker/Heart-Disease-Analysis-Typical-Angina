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ssi\Dropbox\PC\Desktop\Data Analist (fai da te)\Capstone doc\"/>
    </mc:Choice>
  </mc:AlternateContent>
  <xr:revisionPtr revIDLastSave="0" documentId="13_ncr:1_{BAAD74BE-7C01-4832-9B6A-2D20079E5ED3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pivot totale sesso" sheetId="2" r:id="rId1"/>
    <sheet name="pivot glicemia" sheetId="3" r:id="rId2"/>
    <sheet name="pivot pendenza" sheetId="4" r:id="rId3"/>
    <sheet name="pivot depressione" sheetId="5" r:id="rId4"/>
    <sheet name="df_1" sheetId="1" r:id="rId5"/>
    <sheet name="df_malattia" sheetId="6" r:id="rId6"/>
    <sheet name="PIVOT ANGINA TIPICA MALATO" sheetId="13" r:id="rId7"/>
    <sheet name="df_angina tipica_malato" sheetId="8" r:id="rId8"/>
    <sheet name="df_sano" sheetId="7" r:id="rId9"/>
    <sheet name="    " sheetId="14" r:id="rId10"/>
    <sheet name="PIVOT ANGINA TIPICA SANO" sheetId="16" r:id="rId11"/>
    <sheet name="df_angina tipica_sano" sheetId="9" r:id="rId12"/>
    <sheet name="prova" sheetId="10" r:id="rId13"/>
  </sheets>
  <definedNames>
    <definedName name="_xlnm._FilterDatabase" localSheetId="4" hidden="1">df_1!$A$1:$B$1</definedName>
    <definedName name="_xlnm._FilterDatabase" localSheetId="7" hidden="1">'df_angina tipica_malato'!$A$1:$N$154</definedName>
    <definedName name="_xlnm._FilterDatabase" localSheetId="11" hidden="1">'df_angina tipica_sano'!$A$1:$N$139</definedName>
    <definedName name="_xlnm._FilterDatabase" localSheetId="5" hidden="1">df_malattia!$C$1:$C$166</definedName>
  </definedNames>
  <calcPr calcId="191029"/>
  <pivotCaches>
    <pivotCache cacheId="0" r:id="rId14"/>
    <pivotCache cacheId="1" r:id="rId15"/>
    <pivotCache cacheId="49" r:id="rId16"/>
    <pivotCache cacheId="52" r:id="rId17"/>
    <pivotCache cacheId="60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10" l="1"/>
  <c r="D69" i="10"/>
  <c r="A69" i="10"/>
  <c r="B70" i="10"/>
  <c r="A70" i="10"/>
  <c r="B69" i="10"/>
</calcChain>
</file>

<file path=xl/sharedStrings.xml><?xml version="1.0" encoding="utf-8"?>
<sst xmlns="http://schemas.openxmlformats.org/spreadsheetml/2006/main" count="4500" uniqueCount="55">
  <si>
    <t>eta</t>
  </si>
  <si>
    <t>sesso</t>
  </si>
  <si>
    <t>tipo_dolore</t>
  </si>
  <si>
    <t>pressione_riposo</t>
  </si>
  <si>
    <t>colesterolo</t>
  </si>
  <si>
    <t>glicemia_digiuno</t>
  </si>
  <si>
    <t>ecg_riposo</t>
  </si>
  <si>
    <t>freq_cardiaca_max</t>
  </si>
  <si>
    <t>angina_sforzo</t>
  </si>
  <si>
    <t>depressione_st</t>
  </si>
  <si>
    <t>pendenza_st</t>
  </si>
  <si>
    <t>vasi_principali</t>
  </si>
  <si>
    <t>talassemia</t>
  </si>
  <si>
    <t>diagnosi</t>
  </si>
  <si>
    <t>Maschio</t>
  </si>
  <si>
    <t>Asintomatico</t>
  </si>
  <si>
    <t>&gt;120 mg/dl</t>
  </si>
  <si>
    <t>No</t>
  </si>
  <si>
    <t>Malattia</t>
  </si>
  <si>
    <t>Dolore non anginoso</t>
  </si>
  <si>
    <t>≤120 mg/dl</t>
  </si>
  <si>
    <t>Femmina</t>
  </si>
  <si>
    <t>Angina atipica</t>
  </si>
  <si>
    <t>Angina tipica</t>
  </si>
  <si>
    <t>Sì</t>
  </si>
  <si>
    <t>Sano</t>
  </si>
  <si>
    <t>Row Labels</t>
  </si>
  <si>
    <t>Grand Total</t>
  </si>
  <si>
    <t>Column Labels</t>
  </si>
  <si>
    <t>Count of sesso</t>
  </si>
  <si>
    <t>(blank)</t>
  </si>
  <si>
    <t>Count of glicemia_digiuno</t>
  </si>
  <si>
    <t>Count of pendenza_st</t>
  </si>
  <si>
    <t>Count of diagnosi</t>
  </si>
  <si>
    <t>Total Count of diagnosi</t>
  </si>
  <si>
    <t>Total Sum of depressione_st</t>
  </si>
  <si>
    <t>Sum of depressione_st</t>
  </si>
  <si>
    <t>MEDIA ETA</t>
  </si>
  <si>
    <t>MASCHIO</t>
  </si>
  <si>
    <t>PERCENT.GENERE</t>
  </si>
  <si>
    <t>MEDIA PRESS_RIP</t>
  </si>
  <si>
    <t>Average of pressione_riposo</t>
  </si>
  <si>
    <t>Average of colesterolo</t>
  </si>
  <si>
    <t>Average of depressione_st</t>
  </si>
  <si>
    <t>Average of vasi_principali</t>
  </si>
  <si>
    <t>Average of ecg_riposo</t>
  </si>
  <si>
    <t>Average of freq_cardiaca_max</t>
  </si>
  <si>
    <t>Count of angina_sforzo</t>
  </si>
  <si>
    <t>MALATO</t>
  </si>
  <si>
    <t>SANO</t>
  </si>
  <si>
    <t>MALATO ANGINA TIPICA</t>
  </si>
  <si>
    <t>Average of pendenza_st</t>
  </si>
  <si>
    <t xml:space="preserve">ANGINA </t>
  </si>
  <si>
    <t>TIPICA</t>
  </si>
  <si>
    <t>ANGINA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</si>
</sst>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16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si" refreshedDate="46131.916902662037" createdVersion="8" refreshedVersion="8" minRefreshableVersion="3" recordCount="303" xr:uid="{3D3939D8-6E2C-47C1-BD82-071DF0E58AB5}">
  <cacheSource type="worksheet">
    <worksheetSource ref="A1:N304" sheet="df_1"/>
  </cacheSource>
  <cacheFields count="14">
    <cacheField name="eta" numFmtId="0">
      <sharedItems containsSemiMixedTypes="0" containsString="0" containsNumber="1" containsInteger="1" minValue="29" maxValue="77"/>
    </cacheField>
    <cacheField name="sesso" numFmtId="0">
      <sharedItems count="2">
        <s v="Maschio"/>
        <s v="Femmina"/>
      </sharedItems>
    </cacheField>
    <cacheField name="tipo_dolore" numFmtId="0">
      <sharedItems count="4">
        <s v="Asintomatico"/>
        <s v="Dolore non anginoso"/>
        <s v="Angina atipica"/>
        <s v="Angina tipica"/>
      </sharedItems>
    </cacheField>
    <cacheField name="pressione_riposo" numFmtId="0">
      <sharedItems containsSemiMixedTypes="0" containsString="0" containsNumber="1" containsInteger="1" minValue="94" maxValue="200"/>
    </cacheField>
    <cacheField name="colesterolo" numFmtId="0">
      <sharedItems containsSemiMixedTypes="0" containsString="0" containsNumber="1" containsInteger="1" minValue="126" maxValue="564" count="152">
        <n v="233"/>
        <n v="250"/>
        <n v="204"/>
        <n v="236"/>
        <n v="354"/>
        <n v="192"/>
        <n v="294"/>
        <n v="263"/>
        <n v="199"/>
        <n v="168"/>
        <n v="239"/>
        <n v="275"/>
        <n v="266"/>
        <n v="211"/>
        <n v="283"/>
        <n v="219"/>
        <n v="340"/>
        <n v="226"/>
        <n v="247"/>
        <n v="234"/>
        <n v="243"/>
        <n v="302"/>
        <n v="212"/>
        <n v="175"/>
        <n v="417"/>
        <n v="197"/>
        <n v="198"/>
        <n v="177"/>
        <n v="273"/>
        <n v="213"/>
        <n v="304"/>
        <n v="232"/>
        <n v="269"/>
        <n v="360"/>
        <n v="308"/>
        <n v="245"/>
        <n v="208"/>
        <n v="264"/>
        <n v="321"/>
        <n v="325"/>
        <n v="235"/>
        <n v="257"/>
        <n v="216"/>
        <n v="256"/>
        <n v="231"/>
        <n v="141"/>
        <n v="252"/>
        <n v="201"/>
        <n v="222"/>
        <n v="260"/>
        <n v="182"/>
        <n v="303"/>
        <n v="265"/>
        <n v="309"/>
        <n v="186"/>
        <n v="203"/>
        <n v="183"/>
        <n v="220"/>
        <n v="209"/>
        <n v="258"/>
        <n v="227"/>
        <n v="261"/>
        <n v="221"/>
        <n v="205"/>
        <n v="240"/>
        <n v="318"/>
        <n v="298"/>
        <n v="564"/>
        <n v="277"/>
        <n v="214"/>
        <n v="248"/>
        <n v="255"/>
        <n v="207"/>
        <n v="223"/>
        <n v="288"/>
        <n v="160"/>
        <n v="394"/>
        <n v="315"/>
        <n v="246"/>
        <n v="244"/>
        <n v="270"/>
        <n v="195"/>
        <n v="196"/>
        <n v="254"/>
        <n v="126"/>
        <n v="313"/>
        <n v="262"/>
        <n v="215"/>
        <n v="193"/>
        <n v="271"/>
        <n v="268"/>
        <n v="267"/>
        <n v="210"/>
        <n v="295"/>
        <n v="306"/>
        <n v="178"/>
        <n v="242"/>
        <n v="180"/>
        <n v="228"/>
        <n v="149"/>
        <n v="278"/>
        <n v="253"/>
        <n v="342"/>
        <n v="157"/>
        <n v="286"/>
        <n v="229"/>
        <n v="284"/>
        <n v="224"/>
        <n v="206"/>
        <n v="167"/>
        <n v="230"/>
        <n v="335"/>
        <n v="276"/>
        <n v="353"/>
        <n v="225"/>
        <n v="330"/>
        <n v="290"/>
        <n v="172"/>
        <n v="305"/>
        <n v="188"/>
        <n v="282"/>
        <n v="185"/>
        <n v="326"/>
        <n v="274"/>
        <n v="164"/>
        <n v="307"/>
        <n v="249"/>
        <n v="341"/>
        <n v="407"/>
        <n v="217"/>
        <n v="174"/>
        <n v="281"/>
        <n v="289"/>
        <n v="322"/>
        <n v="299"/>
        <n v="300"/>
        <n v="293"/>
        <n v="184"/>
        <n v="409"/>
        <n v="259"/>
        <n v="200"/>
        <n v="327"/>
        <n v="237"/>
        <n v="218"/>
        <n v="319"/>
        <n v="166"/>
        <n v="311"/>
        <n v="169"/>
        <n v="187"/>
        <n v="176"/>
        <n v="241"/>
        <n v="131"/>
      </sharedItems>
    </cacheField>
    <cacheField name="glicemia_digiuno" numFmtId="0">
      <sharedItems/>
    </cacheField>
    <cacheField name="ecg_riposo" numFmtId="0">
      <sharedItems containsSemiMixedTypes="0" containsString="0" containsNumber="1" containsInteger="1" minValue="0" maxValue="2"/>
    </cacheField>
    <cacheField name="freq_cardiaca_max" numFmtId="0">
      <sharedItems containsSemiMixedTypes="0" containsString="0" containsNumber="1" containsInteger="1" minValue="71" maxValue="202"/>
    </cacheField>
    <cacheField name="angina_sforzo" numFmtId="0">
      <sharedItems/>
    </cacheField>
    <cacheField name="depressione_st" numFmtId="0">
      <sharedItems containsSemiMixedTypes="0" containsString="0" containsNumber="1" minValue="0" maxValue="6.2"/>
    </cacheField>
    <cacheField name="pendenza_st" numFmtId="0">
      <sharedItems containsSemiMixedTypes="0" containsString="0" containsNumber="1" containsInteger="1" minValue="0" maxValue="2"/>
    </cacheField>
    <cacheField name="vasi_principali" numFmtId="0">
      <sharedItems containsSemiMixedTypes="0" containsString="0" containsNumber="1" containsInteger="1" minValue="0" maxValue="4"/>
    </cacheField>
    <cacheField name="talassemia" numFmtId="0">
      <sharedItems containsSemiMixedTypes="0" containsString="0" containsNumber="1" containsInteger="1" minValue="0" maxValue="3"/>
    </cacheField>
    <cacheField name="diagnosi" numFmtId="0">
      <sharedItems count="2">
        <s v="Malattia"/>
        <s v="Sa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si" refreshedDate="46132.818404398146" createdVersion="8" refreshedVersion="8" minRefreshableVersion="3" recordCount="304" xr:uid="{1E4397AE-7499-4364-8E05-D43C8DE1AE04}">
  <cacheSource type="worksheet">
    <worksheetSource ref="A1:N1048576" sheet="df_1"/>
  </cacheSource>
  <cacheFields count="14">
    <cacheField name="eta" numFmtId="0">
      <sharedItems containsString="0" containsBlank="1" containsNumber="1" containsInteger="1" minValue="29" maxValue="77"/>
    </cacheField>
    <cacheField name="sesso" numFmtId="0">
      <sharedItems containsBlank="1" count="3">
        <s v="Maschio"/>
        <s v="Femmina"/>
        <m/>
      </sharedItems>
    </cacheField>
    <cacheField name="tipo_dolore" numFmtId="0">
      <sharedItems containsBlank="1" count="5">
        <s v="Asintomatico"/>
        <s v="Dolore non anginoso"/>
        <s v="Angina atipica"/>
        <s v="Angina tipica"/>
        <m/>
      </sharedItems>
    </cacheField>
    <cacheField name="pressione_riposo" numFmtId="0">
      <sharedItems containsString="0" containsBlank="1" containsNumber="1" containsInteger="1" minValue="94" maxValue="200" count="50">
        <n v="145"/>
        <n v="130"/>
        <n v="120"/>
        <n v="140"/>
        <n v="172"/>
        <n v="150"/>
        <n v="110"/>
        <n v="135"/>
        <n v="160"/>
        <n v="105"/>
        <n v="125"/>
        <n v="142"/>
        <n v="155"/>
        <n v="104"/>
        <n v="138"/>
        <n v="128"/>
        <n v="108"/>
        <n v="134"/>
        <n v="122"/>
        <n v="115"/>
        <n v="118"/>
        <n v="100"/>
        <n v="124"/>
        <n v="94"/>
        <n v="112"/>
        <n v="102"/>
        <n v="152"/>
        <n v="101"/>
        <n v="132"/>
        <n v="148"/>
        <n v="178"/>
        <n v="129"/>
        <n v="180"/>
        <n v="136"/>
        <n v="126"/>
        <n v="106"/>
        <n v="156"/>
        <n v="170"/>
        <n v="146"/>
        <n v="117"/>
        <n v="200"/>
        <n v="165"/>
        <n v="174"/>
        <n v="192"/>
        <n v="144"/>
        <n v="123"/>
        <n v="154"/>
        <n v="114"/>
        <n v="164"/>
        <m/>
      </sharedItems>
    </cacheField>
    <cacheField name="colesterolo" numFmtId="0">
      <sharedItems containsString="0" containsBlank="1" containsNumber="1" containsInteger="1" minValue="126" maxValue="564" count="153">
        <n v="233"/>
        <n v="250"/>
        <n v="204"/>
        <n v="236"/>
        <n v="354"/>
        <n v="192"/>
        <n v="294"/>
        <n v="263"/>
        <n v="199"/>
        <n v="168"/>
        <n v="239"/>
        <n v="275"/>
        <n v="266"/>
        <n v="211"/>
        <n v="283"/>
        <n v="219"/>
        <n v="340"/>
        <n v="226"/>
        <n v="247"/>
        <n v="234"/>
        <n v="243"/>
        <n v="302"/>
        <n v="212"/>
        <n v="175"/>
        <n v="417"/>
        <n v="197"/>
        <n v="198"/>
        <n v="177"/>
        <n v="273"/>
        <n v="213"/>
        <n v="304"/>
        <n v="232"/>
        <n v="269"/>
        <n v="360"/>
        <n v="308"/>
        <n v="245"/>
        <n v="208"/>
        <n v="264"/>
        <n v="321"/>
        <n v="325"/>
        <n v="235"/>
        <n v="257"/>
        <n v="216"/>
        <n v="256"/>
        <n v="231"/>
        <n v="141"/>
        <n v="252"/>
        <n v="201"/>
        <n v="222"/>
        <n v="260"/>
        <n v="182"/>
        <n v="303"/>
        <n v="265"/>
        <n v="309"/>
        <n v="186"/>
        <n v="203"/>
        <n v="183"/>
        <n v="220"/>
        <n v="209"/>
        <n v="258"/>
        <n v="227"/>
        <n v="261"/>
        <n v="221"/>
        <n v="205"/>
        <n v="240"/>
        <n v="318"/>
        <n v="298"/>
        <n v="564"/>
        <n v="277"/>
        <n v="214"/>
        <n v="248"/>
        <n v="255"/>
        <n v="207"/>
        <n v="223"/>
        <n v="288"/>
        <n v="160"/>
        <n v="394"/>
        <n v="315"/>
        <n v="246"/>
        <n v="244"/>
        <n v="270"/>
        <n v="195"/>
        <n v="196"/>
        <n v="254"/>
        <n v="126"/>
        <n v="313"/>
        <n v="262"/>
        <n v="215"/>
        <n v="193"/>
        <n v="271"/>
        <n v="268"/>
        <n v="267"/>
        <n v="210"/>
        <n v="295"/>
        <n v="306"/>
        <n v="178"/>
        <n v="242"/>
        <n v="180"/>
        <n v="228"/>
        <n v="149"/>
        <n v="278"/>
        <n v="253"/>
        <n v="342"/>
        <n v="157"/>
        <n v="286"/>
        <n v="229"/>
        <n v="284"/>
        <n v="224"/>
        <n v="206"/>
        <n v="167"/>
        <n v="230"/>
        <n v="335"/>
        <n v="276"/>
        <n v="353"/>
        <n v="225"/>
        <n v="330"/>
        <n v="290"/>
        <n v="172"/>
        <n v="305"/>
        <n v="188"/>
        <n v="282"/>
        <n v="185"/>
        <n v="326"/>
        <n v="274"/>
        <n v="164"/>
        <n v="307"/>
        <n v="249"/>
        <n v="341"/>
        <n v="407"/>
        <n v="217"/>
        <n v="174"/>
        <n v="281"/>
        <n v="289"/>
        <n v="322"/>
        <n v="299"/>
        <n v="300"/>
        <n v="293"/>
        <n v="184"/>
        <n v="409"/>
        <n v="259"/>
        <n v="200"/>
        <n v="327"/>
        <n v="237"/>
        <n v="218"/>
        <n v="319"/>
        <n v="166"/>
        <n v="311"/>
        <n v="169"/>
        <n v="187"/>
        <n v="176"/>
        <n v="241"/>
        <n v="131"/>
        <m/>
      </sharedItems>
    </cacheField>
    <cacheField name="glicemia_digiuno" numFmtId="0">
      <sharedItems containsBlank="1" count="3">
        <s v="&gt;120 mg/dl"/>
        <s v="≤120 mg/dl"/>
        <m/>
      </sharedItems>
    </cacheField>
    <cacheField name="ecg_riposo" numFmtId="0">
      <sharedItems containsString="0" containsBlank="1" containsNumber="1" containsInteger="1" minValue="0" maxValue="2"/>
    </cacheField>
    <cacheField name="freq_cardiaca_max" numFmtId="0">
      <sharedItems containsString="0" containsBlank="1" containsNumber="1" containsInteger="1" minValue="71" maxValue="202"/>
    </cacheField>
    <cacheField name="angina_sforzo" numFmtId="0">
      <sharedItems containsBlank="1" count="3">
        <s v="No"/>
        <s v="Sì"/>
        <m/>
      </sharedItems>
    </cacheField>
    <cacheField name="depressione_st" numFmtId="0">
      <sharedItems containsString="0" containsBlank="1" containsNumber="1" minValue="0" maxValue="6.2" count="41">
        <n v="2.2999999999999998"/>
        <n v="3.5"/>
        <n v="1.4"/>
        <n v="0.8"/>
        <n v="0.6"/>
        <n v="0.4"/>
        <n v="1.3"/>
        <n v="0"/>
        <n v="0.5"/>
        <n v="1.6"/>
        <n v="1.2"/>
        <n v="0.2"/>
        <n v="1.8"/>
        <n v="1"/>
        <n v="2.6"/>
        <n v="1.5"/>
        <n v="3"/>
        <n v="2.4"/>
        <n v="0.1"/>
        <n v="1.9"/>
        <n v="4.2"/>
        <n v="1.1000000000000001"/>
        <n v="2"/>
        <n v="0.7"/>
        <n v="0.3"/>
        <n v="0.9"/>
        <n v="3.6"/>
        <n v="3.1"/>
        <n v="3.2"/>
        <n v="2.5"/>
        <n v="2.2000000000000002"/>
        <n v="2.8"/>
        <n v="3.4"/>
        <n v="6.2"/>
        <n v="4"/>
        <n v="5.6"/>
        <n v="2.9"/>
        <n v="2.1"/>
        <n v="3.8"/>
        <n v="4.4000000000000004"/>
        <m/>
      </sharedItems>
    </cacheField>
    <cacheField name="pendenza_st" numFmtId="0">
      <sharedItems containsString="0" containsBlank="1" containsNumber="1" containsInteger="1" minValue="0" maxValue="2" count="4">
        <n v="0"/>
        <n v="2"/>
        <n v="1"/>
        <m/>
      </sharedItems>
    </cacheField>
    <cacheField name="vasi_principali" numFmtId="0">
      <sharedItems containsString="0" containsBlank="1" containsNumber="1" containsInteger="1" minValue="0" maxValue="4" count="6">
        <n v="0"/>
        <n v="2"/>
        <n v="1"/>
        <n v="3"/>
        <n v="4"/>
        <m/>
      </sharedItems>
    </cacheField>
    <cacheField name="talassemia" numFmtId="0">
      <sharedItems containsString="0" containsBlank="1" containsNumber="1" containsInteger="1" minValue="0" maxValue="3"/>
    </cacheField>
    <cacheField name="diagnosi" numFmtId="0">
      <sharedItems containsBlank="1" count="3">
        <s v="Malattia"/>
        <s v="San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si" refreshedDate="46137.510018055553" createdVersion="8" refreshedVersion="8" minRefreshableVersion="3" recordCount="39" xr:uid="{970C63C2-9811-498E-94DC-D3A11106D899}">
  <cacheSource type="worksheet">
    <worksheetSource ref="A1:N40" sheet="df_angina tipica_malato"/>
  </cacheSource>
  <cacheFields count="14">
    <cacheField name="eta" numFmtId="0">
      <sharedItems containsSemiMixedTypes="0" containsString="0" containsNumber="1" containsInteger="1" minValue="35" maxValue="71"/>
    </cacheField>
    <cacheField name="sesso" numFmtId="0">
      <sharedItems count="2">
        <s v="Femmina"/>
        <s v="Maschio"/>
      </sharedItems>
    </cacheField>
    <cacheField name="tipo_dolore" numFmtId="0">
      <sharedItems/>
    </cacheField>
    <cacheField name="pressione_riposo" numFmtId="0">
      <sharedItems containsSemiMixedTypes="0" containsString="0" containsNumber="1" containsInteger="1" minValue="100" maxValue="180"/>
    </cacheField>
    <cacheField name="colesterolo" numFmtId="0">
      <sharedItems containsSemiMixedTypes="0" containsString="0" containsNumber="1" containsInteger="1" minValue="149" maxValue="394"/>
    </cacheField>
    <cacheField name="glicemia_digiuno" numFmtId="0">
      <sharedItems/>
    </cacheField>
    <cacheField name="ecg_riposo" numFmtId="0">
      <sharedItems containsSemiMixedTypes="0" containsString="0" containsNumber="1" containsInteger="1" minValue="0" maxValue="1"/>
    </cacheField>
    <cacheField name="freq_cardiaca_max" numFmtId="0">
      <sharedItems containsSemiMixedTypes="0" containsString="0" containsNumber="1" containsInteger="1" minValue="105" maxValue="186"/>
    </cacheField>
    <cacheField name="angina_sforzo" numFmtId="0">
      <sharedItems/>
    </cacheField>
    <cacheField name="depressione_st" numFmtId="0">
      <sharedItems containsSemiMixedTypes="0" containsString="0" containsNumber="1" minValue="0" maxValue="3" count="15">
        <n v="0.6"/>
        <n v="0.4"/>
        <n v="1.2"/>
        <n v="1.5"/>
        <n v="0.5"/>
        <n v="0"/>
        <n v="3"/>
        <n v="1.4"/>
        <n v="1"/>
        <n v="0.1"/>
        <n v="0.2"/>
        <n v="2"/>
        <n v="0.3"/>
        <n v="2.2999999999999998"/>
        <n v="1.6"/>
      </sharedItems>
    </cacheField>
    <cacheField name="pendenza_st" numFmtId="0">
      <sharedItems containsSemiMixedTypes="0" containsString="0" containsNumber="1" containsInteger="1" minValue="1" maxValue="2"/>
    </cacheField>
    <cacheField name="vasi_principali" numFmtId="0">
      <sharedItems containsSemiMixedTypes="0" containsString="0" containsNumber="1" containsInteger="1" minValue="0" maxValue="3"/>
    </cacheField>
    <cacheField name="talassemia" numFmtId="0">
      <sharedItems containsSemiMixedTypes="0" containsString="0" containsNumber="1" containsInteger="1" minValue="1" maxValue="3" count="3">
        <n v="2"/>
        <n v="1"/>
        <n v="3"/>
      </sharedItems>
    </cacheField>
    <cacheField name="diagnosi" numFmtId="0">
      <sharedItems count="1">
        <s v="Malatt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si" refreshedDate="46137.519287037037" createdVersion="8" refreshedVersion="8" minRefreshableVersion="3" recordCount="123" xr:uid="{DD0B5CA0-FE95-4407-AB19-7F69BBDCC22F}">
  <cacheSource type="worksheet">
    <worksheetSource ref="A11:N134" sheet="df_angina tipica_sano"/>
  </cacheSource>
  <cacheFields count="14">
    <cacheField name="43" numFmtId="0">
      <sharedItems containsSemiMixedTypes="0" containsString="0" containsNumber="1" containsInteger="1" minValue="43" maxValue="68"/>
    </cacheField>
    <cacheField name="Femmina" numFmtId="0">
      <sharedItems/>
    </cacheField>
    <cacheField name="Angina tipica" numFmtId="0">
      <sharedItems/>
    </cacheField>
    <cacheField name="132" numFmtId="0">
      <sharedItems containsSemiMixedTypes="0" containsString="0" containsNumber="1" containsInteger="1" minValue="100" maxValue="200"/>
    </cacheField>
    <cacheField name="341" numFmtId="0">
      <sharedItems containsSemiMixedTypes="0" containsString="0" containsNumber="1" containsInteger="1" minValue="131" maxValue="409"/>
    </cacheField>
    <cacheField name="&gt;120 mg/dl" numFmtId="0">
      <sharedItems/>
    </cacheField>
    <cacheField name="0" numFmtId="0">
      <sharedItems containsSemiMixedTypes="0" containsString="0" containsNumber="1" containsInteger="1" minValue="0" maxValue="2"/>
    </cacheField>
    <cacheField name="136" numFmtId="0">
      <sharedItems containsSemiMixedTypes="0" containsString="0" containsNumber="1" containsInteger="1" minValue="71" maxValue="195"/>
    </cacheField>
    <cacheField name="Sì" numFmtId="0">
      <sharedItems/>
    </cacheField>
    <cacheField name="3" numFmtId="0">
      <sharedItems containsSemiMixedTypes="0" containsString="0" containsNumber="1" minValue="0" maxValue="6.2"/>
    </cacheField>
    <cacheField name="1" numFmtId="0">
      <sharedItems containsSemiMixedTypes="0" containsString="0" containsNumber="1" containsInteger="1" minValue="0" maxValue="2"/>
    </cacheField>
    <cacheField name="02" numFmtId="0">
      <sharedItems containsSemiMixedTypes="0" containsString="0" containsNumber="1" containsInteger="1" minValue="0" maxValue="4"/>
    </cacheField>
    <cacheField name="32" numFmtId="0">
      <sharedItems containsSemiMixedTypes="0" containsString="0" containsNumber="1" containsInteger="1" minValue="0" maxValue="3"/>
    </cacheField>
    <cacheField name="San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si" refreshedDate="46137.522632986111" createdVersion="8" refreshedVersion="8" minRefreshableVersion="3" recordCount="133" xr:uid="{694DCB1A-4918-4705-A4C5-F9987720FB00}">
  <cacheSource type="worksheet">
    <worksheetSource ref="A1:N134" sheet="df_angina tipica_sano"/>
  </cacheSource>
  <cacheFields count="14">
    <cacheField name="eta" numFmtId="0">
      <sharedItems containsSemiMixedTypes="0" containsString="0" containsNumber="1" containsInteger="1" minValue="35" maxValue="68"/>
    </cacheField>
    <cacheField name="sesso" numFmtId="0">
      <sharedItems count="2">
        <s v="Maschio"/>
        <s v="Femmina"/>
      </sharedItems>
    </cacheField>
    <cacheField name="tipo_dolore" numFmtId="0">
      <sharedItems/>
    </cacheField>
    <cacheField name="pressione_riposo" numFmtId="0">
      <sharedItems containsSemiMixedTypes="0" containsString="0" containsNumber="1" containsInteger="1" minValue="100" maxValue="200"/>
    </cacheField>
    <cacheField name="colesterolo" numFmtId="0">
      <sharedItems containsSemiMixedTypes="0" containsString="0" containsNumber="1" containsInteger="1" minValue="131" maxValue="409"/>
    </cacheField>
    <cacheField name="glicemia_digiuno" numFmtId="0">
      <sharedItems/>
    </cacheField>
    <cacheField name="ecg_riposo" numFmtId="0">
      <sharedItems containsSemiMixedTypes="0" containsString="0" containsNumber="1" containsInteger="1" minValue="0" maxValue="2"/>
    </cacheField>
    <cacheField name="freq_cardiaca_max" numFmtId="0">
      <sharedItems containsSemiMixedTypes="0" containsString="0" containsNumber="1" containsInteger="1" minValue="71" maxValue="195" count="71">
        <n v="130"/>
        <n v="156"/>
        <n v="182"/>
        <n v="140"/>
        <n v="114"/>
        <n v="181"/>
        <n v="158"/>
        <n v="125"/>
        <n v="120"/>
        <n v="136"/>
        <n v="143"/>
        <n v="153"/>
        <n v="177"/>
        <n v="144"/>
        <n v="147"/>
        <n v="132"/>
        <n v="152"/>
        <n v="118"/>
        <n v="168"/>
        <n v="150"/>
        <n v="166"/>
        <n v="139"/>
        <n v="126"/>
        <n v="128"/>
        <n v="163"/>
        <n v="142"/>
        <n v="173"/>
        <n v="122"/>
        <n v="161"/>
        <n v="160"/>
        <n v="155"/>
        <n v="95"/>
        <n v="109"/>
        <n v="113"/>
        <n v="195"/>
        <n v="108"/>
        <n v="116"/>
        <n v="111"/>
        <n v="145"/>
        <n v="117"/>
        <n v="133"/>
        <n v="105"/>
        <n v="103"/>
        <n v="112"/>
        <n v="124"/>
        <n v="88"/>
        <n v="141"/>
        <n v="164"/>
        <n v="123"/>
        <n v="115"/>
        <n v="174"/>
        <n v="165"/>
        <n v="131"/>
        <n v="171"/>
        <n v="146"/>
        <n v="162"/>
        <n v="159"/>
        <n v="134"/>
        <n v="90"/>
        <n v="157"/>
        <n v="170"/>
        <n v="169"/>
        <n v="138"/>
        <n v="99"/>
        <n v="97"/>
        <n v="106"/>
        <n v="154"/>
        <n v="96"/>
        <n v="127"/>
        <n v="129"/>
        <n v="71"/>
      </sharedItems>
    </cacheField>
    <cacheField name="angina_sforzo" numFmtId="0">
      <sharedItems/>
    </cacheField>
    <cacheField name="depressione_st" numFmtId="0">
      <sharedItems containsSemiMixedTypes="0" containsString="0" containsNumber="1" minValue="0" maxValue="6.2"/>
    </cacheField>
    <cacheField name="pendenza_st" numFmtId="0">
      <sharedItems containsSemiMixedTypes="0" containsString="0" containsNumber="1" containsInteger="1" minValue="0" maxValue="2"/>
    </cacheField>
    <cacheField name="vasi_principali" numFmtId="0">
      <sharedItems containsSemiMixedTypes="0" containsString="0" containsNumber="1" containsInteger="1" minValue="0" maxValue="4"/>
    </cacheField>
    <cacheField name="talassemia" numFmtId="0">
      <sharedItems containsSemiMixedTypes="0" containsString="0" containsNumber="1" containsInteger="1" minValue="0" maxValue="3"/>
    </cacheField>
    <cacheField name="diagnos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n v="63"/>
    <x v="0"/>
    <x v="0"/>
    <n v="145"/>
    <x v="0"/>
    <s v="&gt;120 mg/dl"/>
    <n v="0"/>
    <n v="150"/>
    <s v="No"/>
    <n v="2.2999999999999998"/>
    <n v="0"/>
    <n v="0"/>
    <n v="1"/>
    <x v="0"/>
  </r>
  <r>
    <n v="37"/>
    <x v="0"/>
    <x v="1"/>
    <n v="130"/>
    <x v="1"/>
    <s v="≤120 mg/dl"/>
    <n v="1"/>
    <n v="187"/>
    <s v="No"/>
    <n v="3.5"/>
    <n v="0"/>
    <n v="0"/>
    <n v="2"/>
    <x v="0"/>
  </r>
  <r>
    <n v="41"/>
    <x v="1"/>
    <x v="2"/>
    <n v="130"/>
    <x v="2"/>
    <s v="≤120 mg/dl"/>
    <n v="0"/>
    <n v="172"/>
    <s v="No"/>
    <n v="1.4"/>
    <n v="2"/>
    <n v="0"/>
    <n v="2"/>
    <x v="0"/>
  </r>
  <r>
    <n v="56"/>
    <x v="0"/>
    <x v="2"/>
    <n v="120"/>
    <x v="3"/>
    <s v="≤120 mg/dl"/>
    <n v="1"/>
    <n v="178"/>
    <s v="No"/>
    <n v="0.8"/>
    <n v="2"/>
    <n v="0"/>
    <n v="2"/>
    <x v="0"/>
  </r>
  <r>
    <n v="57"/>
    <x v="1"/>
    <x v="3"/>
    <n v="120"/>
    <x v="4"/>
    <s v="≤120 mg/dl"/>
    <n v="1"/>
    <n v="163"/>
    <s v="Sì"/>
    <n v="0.6"/>
    <n v="2"/>
    <n v="0"/>
    <n v="2"/>
    <x v="0"/>
  </r>
  <r>
    <n v="57"/>
    <x v="0"/>
    <x v="3"/>
    <n v="140"/>
    <x v="5"/>
    <s v="≤120 mg/dl"/>
    <n v="1"/>
    <n v="148"/>
    <s v="No"/>
    <n v="0.4"/>
    <n v="1"/>
    <n v="0"/>
    <n v="1"/>
    <x v="0"/>
  </r>
  <r>
    <n v="56"/>
    <x v="1"/>
    <x v="2"/>
    <n v="140"/>
    <x v="6"/>
    <s v="≤120 mg/dl"/>
    <n v="0"/>
    <n v="153"/>
    <s v="No"/>
    <n v="1.3"/>
    <n v="1"/>
    <n v="0"/>
    <n v="2"/>
    <x v="0"/>
  </r>
  <r>
    <n v="44"/>
    <x v="0"/>
    <x v="2"/>
    <n v="120"/>
    <x v="7"/>
    <s v="≤120 mg/dl"/>
    <n v="1"/>
    <n v="173"/>
    <s v="No"/>
    <n v="0"/>
    <n v="2"/>
    <n v="0"/>
    <n v="3"/>
    <x v="0"/>
  </r>
  <r>
    <n v="52"/>
    <x v="0"/>
    <x v="1"/>
    <n v="172"/>
    <x v="8"/>
    <s v="&gt;120 mg/dl"/>
    <n v="1"/>
    <n v="162"/>
    <s v="No"/>
    <n v="0.5"/>
    <n v="2"/>
    <n v="0"/>
    <n v="3"/>
    <x v="0"/>
  </r>
  <r>
    <n v="57"/>
    <x v="0"/>
    <x v="1"/>
    <n v="150"/>
    <x v="9"/>
    <s v="≤120 mg/dl"/>
    <n v="1"/>
    <n v="174"/>
    <s v="No"/>
    <n v="1.6"/>
    <n v="2"/>
    <n v="0"/>
    <n v="2"/>
    <x v="0"/>
  </r>
  <r>
    <n v="54"/>
    <x v="0"/>
    <x v="3"/>
    <n v="140"/>
    <x v="10"/>
    <s v="≤120 mg/dl"/>
    <n v="1"/>
    <n v="160"/>
    <s v="No"/>
    <n v="1.2"/>
    <n v="2"/>
    <n v="0"/>
    <n v="2"/>
    <x v="0"/>
  </r>
  <r>
    <n v="48"/>
    <x v="1"/>
    <x v="1"/>
    <n v="130"/>
    <x v="11"/>
    <s v="≤120 mg/dl"/>
    <n v="1"/>
    <n v="139"/>
    <s v="No"/>
    <n v="0.2"/>
    <n v="2"/>
    <n v="0"/>
    <n v="2"/>
    <x v="0"/>
  </r>
  <r>
    <n v="49"/>
    <x v="0"/>
    <x v="2"/>
    <n v="130"/>
    <x v="12"/>
    <s v="≤120 mg/dl"/>
    <n v="1"/>
    <n v="171"/>
    <s v="No"/>
    <n v="0.6"/>
    <n v="2"/>
    <n v="0"/>
    <n v="2"/>
    <x v="0"/>
  </r>
  <r>
    <n v="64"/>
    <x v="0"/>
    <x v="0"/>
    <n v="110"/>
    <x v="13"/>
    <s v="≤120 mg/dl"/>
    <n v="0"/>
    <n v="144"/>
    <s v="Sì"/>
    <n v="1.8"/>
    <n v="1"/>
    <n v="0"/>
    <n v="2"/>
    <x v="0"/>
  </r>
  <r>
    <n v="58"/>
    <x v="1"/>
    <x v="0"/>
    <n v="150"/>
    <x v="14"/>
    <s v="&gt;120 mg/dl"/>
    <n v="0"/>
    <n v="162"/>
    <s v="No"/>
    <n v="1"/>
    <n v="2"/>
    <n v="0"/>
    <n v="2"/>
    <x v="0"/>
  </r>
  <r>
    <n v="50"/>
    <x v="1"/>
    <x v="1"/>
    <n v="120"/>
    <x v="15"/>
    <s v="≤120 mg/dl"/>
    <n v="1"/>
    <n v="158"/>
    <s v="No"/>
    <n v="1.6"/>
    <n v="1"/>
    <n v="0"/>
    <n v="2"/>
    <x v="0"/>
  </r>
  <r>
    <n v="58"/>
    <x v="1"/>
    <x v="1"/>
    <n v="120"/>
    <x v="16"/>
    <s v="≤120 mg/dl"/>
    <n v="1"/>
    <n v="172"/>
    <s v="No"/>
    <n v="0"/>
    <n v="2"/>
    <n v="0"/>
    <n v="2"/>
    <x v="0"/>
  </r>
  <r>
    <n v="66"/>
    <x v="1"/>
    <x v="0"/>
    <n v="150"/>
    <x v="17"/>
    <s v="≤120 mg/dl"/>
    <n v="1"/>
    <n v="114"/>
    <s v="No"/>
    <n v="2.6"/>
    <n v="0"/>
    <n v="0"/>
    <n v="2"/>
    <x v="0"/>
  </r>
  <r>
    <n v="43"/>
    <x v="0"/>
    <x v="3"/>
    <n v="150"/>
    <x v="18"/>
    <s v="≤120 mg/dl"/>
    <n v="1"/>
    <n v="171"/>
    <s v="No"/>
    <n v="1.5"/>
    <n v="2"/>
    <n v="0"/>
    <n v="2"/>
    <x v="0"/>
  </r>
  <r>
    <n v="69"/>
    <x v="1"/>
    <x v="0"/>
    <n v="140"/>
    <x v="10"/>
    <s v="≤120 mg/dl"/>
    <n v="1"/>
    <n v="151"/>
    <s v="No"/>
    <n v="1.8"/>
    <n v="2"/>
    <n v="2"/>
    <n v="2"/>
    <x v="0"/>
  </r>
  <r>
    <n v="59"/>
    <x v="0"/>
    <x v="3"/>
    <n v="135"/>
    <x v="19"/>
    <s v="≤120 mg/dl"/>
    <n v="1"/>
    <n v="161"/>
    <s v="No"/>
    <n v="0.5"/>
    <n v="1"/>
    <n v="0"/>
    <n v="3"/>
    <x v="0"/>
  </r>
  <r>
    <n v="44"/>
    <x v="0"/>
    <x v="1"/>
    <n v="130"/>
    <x v="0"/>
    <s v="≤120 mg/dl"/>
    <n v="1"/>
    <n v="179"/>
    <s v="Sì"/>
    <n v="0.4"/>
    <n v="2"/>
    <n v="0"/>
    <n v="2"/>
    <x v="0"/>
  </r>
  <r>
    <n v="42"/>
    <x v="0"/>
    <x v="3"/>
    <n v="140"/>
    <x v="17"/>
    <s v="≤120 mg/dl"/>
    <n v="1"/>
    <n v="178"/>
    <s v="No"/>
    <n v="0"/>
    <n v="2"/>
    <n v="0"/>
    <n v="2"/>
    <x v="0"/>
  </r>
  <r>
    <n v="61"/>
    <x v="0"/>
    <x v="1"/>
    <n v="150"/>
    <x v="20"/>
    <s v="&gt;120 mg/dl"/>
    <n v="1"/>
    <n v="137"/>
    <s v="Sì"/>
    <n v="1"/>
    <n v="1"/>
    <n v="0"/>
    <n v="2"/>
    <x v="0"/>
  </r>
  <r>
    <n v="40"/>
    <x v="0"/>
    <x v="0"/>
    <n v="140"/>
    <x v="8"/>
    <s v="≤120 mg/dl"/>
    <n v="1"/>
    <n v="178"/>
    <s v="Sì"/>
    <n v="1.4"/>
    <n v="2"/>
    <n v="0"/>
    <n v="3"/>
    <x v="0"/>
  </r>
  <r>
    <n v="71"/>
    <x v="1"/>
    <x v="2"/>
    <n v="160"/>
    <x v="21"/>
    <s v="≤120 mg/dl"/>
    <n v="1"/>
    <n v="162"/>
    <s v="No"/>
    <n v="0.4"/>
    <n v="2"/>
    <n v="2"/>
    <n v="2"/>
    <x v="0"/>
  </r>
  <r>
    <n v="59"/>
    <x v="0"/>
    <x v="1"/>
    <n v="150"/>
    <x v="22"/>
    <s v="&gt;120 mg/dl"/>
    <n v="1"/>
    <n v="157"/>
    <s v="No"/>
    <n v="1.6"/>
    <n v="2"/>
    <n v="0"/>
    <n v="2"/>
    <x v="0"/>
  </r>
  <r>
    <n v="51"/>
    <x v="0"/>
    <x v="1"/>
    <n v="110"/>
    <x v="23"/>
    <s v="≤120 mg/dl"/>
    <n v="1"/>
    <n v="123"/>
    <s v="No"/>
    <n v="0.6"/>
    <n v="2"/>
    <n v="0"/>
    <n v="2"/>
    <x v="0"/>
  </r>
  <r>
    <n v="65"/>
    <x v="1"/>
    <x v="1"/>
    <n v="140"/>
    <x v="24"/>
    <s v="&gt;120 mg/dl"/>
    <n v="0"/>
    <n v="157"/>
    <s v="No"/>
    <n v="0.8"/>
    <n v="2"/>
    <n v="1"/>
    <n v="2"/>
    <x v="0"/>
  </r>
  <r>
    <n v="53"/>
    <x v="0"/>
    <x v="1"/>
    <n v="130"/>
    <x v="25"/>
    <s v="&gt;120 mg/dl"/>
    <n v="0"/>
    <n v="152"/>
    <s v="No"/>
    <n v="1.2"/>
    <n v="0"/>
    <n v="0"/>
    <n v="2"/>
    <x v="0"/>
  </r>
  <r>
    <n v="41"/>
    <x v="1"/>
    <x v="2"/>
    <n v="105"/>
    <x v="26"/>
    <s v="≤120 mg/dl"/>
    <n v="1"/>
    <n v="168"/>
    <s v="No"/>
    <n v="0"/>
    <n v="2"/>
    <n v="1"/>
    <n v="2"/>
    <x v="0"/>
  </r>
  <r>
    <n v="65"/>
    <x v="0"/>
    <x v="3"/>
    <n v="120"/>
    <x v="27"/>
    <s v="≤120 mg/dl"/>
    <n v="1"/>
    <n v="140"/>
    <s v="No"/>
    <n v="0.4"/>
    <n v="2"/>
    <n v="0"/>
    <n v="3"/>
    <x v="0"/>
  </r>
  <r>
    <n v="44"/>
    <x v="0"/>
    <x v="2"/>
    <n v="130"/>
    <x v="15"/>
    <s v="≤120 mg/dl"/>
    <n v="0"/>
    <n v="188"/>
    <s v="No"/>
    <n v="0"/>
    <n v="2"/>
    <n v="0"/>
    <n v="2"/>
    <x v="0"/>
  </r>
  <r>
    <n v="54"/>
    <x v="0"/>
    <x v="1"/>
    <n v="125"/>
    <x v="28"/>
    <s v="≤120 mg/dl"/>
    <n v="0"/>
    <n v="152"/>
    <s v="No"/>
    <n v="0.5"/>
    <n v="0"/>
    <n v="1"/>
    <n v="2"/>
    <x v="0"/>
  </r>
  <r>
    <n v="51"/>
    <x v="0"/>
    <x v="0"/>
    <n v="125"/>
    <x v="29"/>
    <s v="≤120 mg/dl"/>
    <n v="0"/>
    <n v="125"/>
    <s v="Sì"/>
    <n v="1.4"/>
    <n v="2"/>
    <n v="1"/>
    <n v="2"/>
    <x v="0"/>
  </r>
  <r>
    <n v="46"/>
    <x v="1"/>
    <x v="1"/>
    <n v="142"/>
    <x v="27"/>
    <s v="≤120 mg/dl"/>
    <n v="0"/>
    <n v="160"/>
    <s v="Sì"/>
    <n v="1.4"/>
    <n v="0"/>
    <n v="0"/>
    <n v="2"/>
    <x v="0"/>
  </r>
  <r>
    <n v="54"/>
    <x v="1"/>
    <x v="1"/>
    <n v="135"/>
    <x v="30"/>
    <s v="&gt;120 mg/dl"/>
    <n v="1"/>
    <n v="170"/>
    <s v="No"/>
    <n v="0"/>
    <n v="2"/>
    <n v="0"/>
    <n v="2"/>
    <x v="0"/>
  </r>
  <r>
    <n v="54"/>
    <x v="0"/>
    <x v="1"/>
    <n v="150"/>
    <x v="31"/>
    <s v="≤120 mg/dl"/>
    <n v="0"/>
    <n v="165"/>
    <s v="No"/>
    <n v="1.6"/>
    <n v="2"/>
    <n v="0"/>
    <n v="3"/>
    <x v="0"/>
  </r>
  <r>
    <n v="65"/>
    <x v="1"/>
    <x v="1"/>
    <n v="155"/>
    <x v="32"/>
    <s v="≤120 mg/dl"/>
    <n v="1"/>
    <n v="148"/>
    <s v="No"/>
    <n v="0.8"/>
    <n v="2"/>
    <n v="0"/>
    <n v="2"/>
    <x v="0"/>
  </r>
  <r>
    <n v="65"/>
    <x v="1"/>
    <x v="1"/>
    <n v="160"/>
    <x v="33"/>
    <s v="≤120 mg/dl"/>
    <n v="0"/>
    <n v="151"/>
    <s v="No"/>
    <n v="0.8"/>
    <n v="2"/>
    <n v="0"/>
    <n v="2"/>
    <x v="0"/>
  </r>
  <r>
    <n v="51"/>
    <x v="1"/>
    <x v="1"/>
    <n v="140"/>
    <x v="34"/>
    <s v="≤120 mg/dl"/>
    <n v="0"/>
    <n v="142"/>
    <s v="No"/>
    <n v="1.5"/>
    <n v="2"/>
    <n v="1"/>
    <n v="2"/>
    <x v="0"/>
  </r>
  <r>
    <n v="48"/>
    <x v="0"/>
    <x v="2"/>
    <n v="130"/>
    <x v="35"/>
    <s v="≤120 mg/dl"/>
    <n v="0"/>
    <n v="180"/>
    <s v="No"/>
    <n v="0.2"/>
    <n v="1"/>
    <n v="0"/>
    <n v="2"/>
    <x v="0"/>
  </r>
  <r>
    <n v="45"/>
    <x v="0"/>
    <x v="3"/>
    <n v="104"/>
    <x v="36"/>
    <s v="≤120 mg/dl"/>
    <n v="0"/>
    <n v="148"/>
    <s v="Sì"/>
    <n v="3"/>
    <n v="1"/>
    <n v="0"/>
    <n v="2"/>
    <x v="0"/>
  </r>
  <r>
    <n v="53"/>
    <x v="1"/>
    <x v="3"/>
    <n v="130"/>
    <x v="37"/>
    <s v="≤120 mg/dl"/>
    <n v="0"/>
    <n v="143"/>
    <s v="No"/>
    <n v="0.4"/>
    <n v="1"/>
    <n v="0"/>
    <n v="2"/>
    <x v="0"/>
  </r>
  <r>
    <n v="39"/>
    <x v="0"/>
    <x v="1"/>
    <n v="140"/>
    <x v="38"/>
    <s v="≤120 mg/dl"/>
    <n v="0"/>
    <n v="182"/>
    <s v="No"/>
    <n v="0"/>
    <n v="2"/>
    <n v="0"/>
    <n v="2"/>
    <x v="0"/>
  </r>
  <r>
    <n v="52"/>
    <x v="0"/>
    <x v="2"/>
    <n v="120"/>
    <x v="39"/>
    <s v="≤120 mg/dl"/>
    <n v="1"/>
    <n v="172"/>
    <s v="No"/>
    <n v="0.2"/>
    <n v="2"/>
    <n v="0"/>
    <n v="2"/>
    <x v="0"/>
  </r>
  <r>
    <n v="44"/>
    <x v="0"/>
    <x v="1"/>
    <n v="140"/>
    <x v="40"/>
    <s v="≤120 mg/dl"/>
    <n v="0"/>
    <n v="180"/>
    <s v="No"/>
    <n v="0"/>
    <n v="2"/>
    <n v="0"/>
    <n v="2"/>
    <x v="0"/>
  </r>
  <r>
    <n v="47"/>
    <x v="0"/>
    <x v="1"/>
    <n v="138"/>
    <x v="41"/>
    <s v="≤120 mg/dl"/>
    <n v="0"/>
    <n v="156"/>
    <s v="No"/>
    <n v="0"/>
    <n v="2"/>
    <n v="0"/>
    <n v="2"/>
    <x v="0"/>
  </r>
  <r>
    <n v="53"/>
    <x v="1"/>
    <x v="1"/>
    <n v="128"/>
    <x v="42"/>
    <s v="≤120 mg/dl"/>
    <n v="0"/>
    <n v="115"/>
    <s v="No"/>
    <n v="0"/>
    <n v="2"/>
    <n v="0"/>
    <n v="0"/>
    <x v="0"/>
  </r>
  <r>
    <n v="53"/>
    <x v="1"/>
    <x v="3"/>
    <n v="138"/>
    <x v="19"/>
    <s v="≤120 mg/dl"/>
    <n v="0"/>
    <n v="160"/>
    <s v="No"/>
    <n v="0"/>
    <n v="2"/>
    <n v="0"/>
    <n v="2"/>
    <x v="0"/>
  </r>
  <r>
    <n v="51"/>
    <x v="1"/>
    <x v="1"/>
    <n v="130"/>
    <x v="43"/>
    <s v="≤120 mg/dl"/>
    <n v="0"/>
    <n v="149"/>
    <s v="No"/>
    <n v="0.5"/>
    <n v="2"/>
    <n v="0"/>
    <n v="2"/>
    <x v="0"/>
  </r>
  <r>
    <n v="66"/>
    <x v="0"/>
    <x v="3"/>
    <n v="120"/>
    <x v="21"/>
    <s v="≤120 mg/dl"/>
    <n v="0"/>
    <n v="151"/>
    <s v="No"/>
    <n v="0.4"/>
    <n v="1"/>
    <n v="0"/>
    <n v="2"/>
    <x v="0"/>
  </r>
  <r>
    <n v="62"/>
    <x v="0"/>
    <x v="1"/>
    <n v="130"/>
    <x v="44"/>
    <s v="≤120 mg/dl"/>
    <n v="1"/>
    <n v="146"/>
    <s v="No"/>
    <n v="1.8"/>
    <n v="1"/>
    <n v="3"/>
    <n v="3"/>
    <x v="0"/>
  </r>
  <r>
    <n v="44"/>
    <x v="1"/>
    <x v="1"/>
    <n v="108"/>
    <x v="45"/>
    <s v="≤120 mg/dl"/>
    <n v="1"/>
    <n v="175"/>
    <s v="No"/>
    <n v="0.6"/>
    <n v="1"/>
    <n v="0"/>
    <n v="2"/>
    <x v="0"/>
  </r>
  <r>
    <n v="63"/>
    <x v="1"/>
    <x v="1"/>
    <n v="135"/>
    <x v="46"/>
    <s v="≤120 mg/dl"/>
    <n v="0"/>
    <n v="172"/>
    <s v="No"/>
    <n v="0"/>
    <n v="2"/>
    <n v="0"/>
    <n v="2"/>
    <x v="0"/>
  </r>
  <r>
    <n v="52"/>
    <x v="0"/>
    <x v="2"/>
    <n v="134"/>
    <x v="47"/>
    <s v="≤120 mg/dl"/>
    <n v="1"/>
    <n v="158"/>
    <s v="No"/>
    <n v="0.8"/>
    <n v="2"/>
    <n v="1"/>
    <n v="2"/>
    <x v="0"/>
  </r>
  <r>
    <n v="48"/>
    <x v="0"/>
    <x v="3"/>
    <n v="122"/>
    <x v="48"/>
    <s v="≤120 mg/dl"/>
    <n v="0"/>
    <n v="186"/>
    <s v="No"/>
    <n v="0"/>
    <n v="2"/>
    <n v="0"/>
    <n v="2"/>
    <x v="0"/>
  </r>
  <r>
    <n v="45"/>
    <x v="0"/>
    <x v="3"/>
    <n v="115"/>
    <x v="49"/>
    <s v="≤120 mg/dl"/>
    <n v="0"/>
    <n v="185"/>
    <s v="No"/>
    <n v="0"/>
    <n v="2"/>
    <n v="0"/>
    <n v="2"/>
    <x v="0"/>
  </r>
  <r>
    <n v="34"/>
    <x v="0"/>
    <x v="0"/>
    <n v="118"/>
    <x v="50"/>
    <s v="≤120 mg/dl"/>
    <n v="0"/>
    <n v="174"/>
    <s v="No"/>
    <n v="0"/>
    <n v="2"/>
    <n v="0"/>
    <n v="2"/>
    <x v="0"/>
  </r>
  <r>
    <n v="57"/>
    <x v="1"/>
    <x v="3"/>
    <n v="128"/>
    <x v="51"/>
    <s v="≤120 mg/dl"/>
    <n v="0"/>
    <n v="159"/>
    <s v="No"/>
    <n v="0"/>
    <n v="2"/>
    <n v="1"/>
    <n v="2"/>
    <x v="0"/>
  </r>
  <r>
    <n v="71"/>
    <x v="1"/>
    <x v="1"/>
    <n v="110"/>
    <x v="52"/>
    <s v="&gt;120 mg/dl"/>
    <n v="0"/>
    <n v="130"/>
    <s v="No"/>
    <n v="0"/>
    <n v="2"/>
    <n v="1"/>
    <n v="2"/>
    <x v="0"/>
  </r>
  <r>
    <n v="54"/>
    <x v="0"/>
    <x v="2"/>
    <n v="108"/>
    <x v="53"/>
    <s v="≤120 mg/dl"/>
    <n v="1"/>
    <n v="156"/>
    <s v="No"/>
    <n v="0"/>
    <n v="2"/>
    <n v="0"/>
    <n v="3"/>
    <x v="0"/>
  </r>
  <r>
    <n v="52"/>
    <x v="0"/>
    <x v="0"/>
    <n v="118"/>
    <x v="54"/>
    <s v="≤120 mg/dl"/>
    <n v="0"/>
    <n v="190"/>
    <s v="No"/>
    <n v="0"/>
    <n v="1"/>
    <n v="0"/>
    <n v="1"/>
    <x v="0"/>
  </r>
  <r>
    <n v="41"/>
    <x v="0"/>
    <x v="2"/>
    <n v="135"/>
    <x v="55"/>
    <s v="≤120 mg/dl"/>
    <n v="1"/>
    <n v="132"/>
    <s v="No"/>
    <n v="0"/>
    <n v="1"/>
    <n v="0"/>
    <n v="1"/>
    <x v="0"/>
  </r>
  <r>
    <n v="58"/>
    <x v="0"/>
    <x v="1"/>
    <n v="140"/>
    <x v="13"/>
    <s v="&gt;120 mg/dl"/>
    <n v="0"/>
    <n v="165"/>
    <s v="No"/>
    <n v="0"/>
    <n v="2"/>
    <n v="0"/>
    <n v="2"/>
    <x v="0"/>
  </r>
  <r>
    <n v="35"/>
    <x v="1"/>
    <x v="3"/>
    <n v="138"/>
    <x v="56"/>
    <s v="≤120 mg/dl"/>
    <n v="1"/>
    <n v="182"/>
    <s v="No"/>
    <n v="1.4"/>
    <n v="2"/>
    <n v="0"/>
    <n v="2"/>
    <x v="0"/>
  </r>
  <r>
    <n v="51"/>
    <x v="0"/>
    <x v="1"/>
    <n v="100"/>
    <x v="48"/>
    <s v="≤120 mg/dl"/>
    <n v="1"/>
    <n v="143"/>
    <s v="Sì"/>
    <n v="1.2"/>
    <n v="1"/>
    <n v="0"/>
    <n v="2"/>
    <x v="0"/>
  </r>
  <r>
    <n v="45"/>
    <x v="1"/>
    <x v="2"/>
    <n v="130"/>
    <x v="19"/>
    <s v="≤120 mg/dl"/>
    <n v="0"/>
    <n v="175"/>
    <s v="No"/>
    <n v="0.6"/>
    <n v="1"/>
    <n v="0"/>
    <n v="2"/>
    <x v="0"/>
  </r>
  <r>
    <n v="44"/>
    <x v="0"/>
    <x v="2"/>
    <n v="120"/>
    <x v="57"/>
    <s v="≤120 mg/dl"/>
    <n v="1"/>
    <n v="170"/>
    <s v="No"/>
    <n v="0"/>
    <n v="2"/>
    <n v="0"/>
    <n v="2"/>
    <x v="0"/>
  </r>
  <r>
    <n v="62"/>
    <x v="1"/>
    <x v="3"/>
    <n v="124"/>
    <x v="58"/>
    <s v="≤120 mg/dl"/>
    <n v="1"/>
    <n v="163"/>
    <s v="No"/>
    <n v="0"/>
    <n v="2"/>
    <n v="0"/>
    <n v="2"/>
    <x v="0"/>
  </r>
  <r>
    <n v="54"/>
    <x v="0"/>
    <x v="1"/>
    <n v="120"/>
    <x v="59"/>
    <s v="≤120 mg/dl"/>
    <n v="0"/>
    <n v="147"/>
    <s v="No"/>
    <n v="0.4"/>
    <n v="1"/>
    <n v="0"/>
    <n v="3"/>
    <x v="0"/>
  </r>
  <r>
    <n v="51"/>
    <x v="0"/>
    <x v="1"/>
    <n v="94"/>
    <x v="60"/>
    <s v="≤120 mg/dl"/>
    <n v="1"/>
    <n v="154"/>
    <s v="Sì"/>
    <n v="0"/>
    <n v="2"/>
    <n v="1"/>
    <n v="3"/>
    <x v="0"/>
  </r>
  <r>
    <n v="29"/>
    <x v="0"/>
    <x v="2"/>
    <n v="130"/>
    <x v="2"/>
    <s v="≤120 mg/dl"/>
    <n v="0"/>
    <n v="202"/>
    <s v="No"/>
    <n v="0"/>
    <n v="2"/>
    <n v="0"/>
    <n v="2"/>
    <x v="0"/>
  </r>
  <r>
    <n v="51"/>
    <x v="0"/>
    <x v="3"/>
    <n v="140"/>
    <x v="61"/>
    <s v="≤120 mg/dl"/>
    <n v="0"/>
    <n v="186"/>
    <s v="Sì"/>
    <n v="0"/>
    <n v="2"/>
    <n v="0"/>
    <n v="2"/>
    <x v="0"/>
  </r>
  <r>
    <n v="43"/>
    <x v="1"/>
    <x v="1"/>
    <n v="122"/>
    <x v="29"/>
    <s v="≤120 mg/dl"/>
    <n v="1"/>
    <n v="165"/>
    <s v="No"/>
    <n v="0.2"/>
    <n v="1"/>
    <n v="0"/>
    <n v="2"/>
    <x v="0"/>
  </r>
  <r>
    <n v="55"/>
    <x v="1"/>
    <x v="2"/>
    <n v="135"/>
    <x v="1"/>
    <s v="≤120 mg/dl"/>
    <n v="0"/>
    <n v="161"/>
    <s v="No"/>
    <n v="1.4"/>
    <n v="1"/>
    <n v="0"/>
    <n v="2"/>
    <x v="0"/>
  </r>
  <r>
    <n v="51"/>
    <x v="0"/>
    <x v="1"/>
    <n v="125"/>
    <x v="35"/>
    <s v="&gt;120 mg/dl"/>
    <n v="0"/>
    <n v="166"/>
    <s v="No"/>
    <n v="2.4"/>
    <n v="1"/>
    <n v="0"/>
    <n v="2"/>
    <x v="0"/>
  </r>
  <r>
    <n v="59"/>
    <x v="0"/>
    <x v="2"/>
    <n v="140"/>
    <x v="62"/>
    <s v="≤120 mg/dl"/>
    <n v="1"/>
    <n v="164"/>
    <s v="Sì"/>
    <n v="0"/>
    <n v="2"/>
    <n v="0"/>
    <n v="2"/>
    <x v="0"/>
  </r>
  <r>
    <n v="52"/>
    <x v="0"/>
    <x v="2"/>
    <n v="128"/>
    <x v="63"/>
    <s v="&gt;120 mg/dl"/>
    <n v="1"/>
    <n v="184"/>
    <s v="No"/>
    <n v="0"/>
    <n v="2"/>
    <n v="0"/>
    <n v="2"/>
    <x v="0"/>
  </r>
  <r>
    <n v="58"/>
    <x v="0"/>
    <x v="1"/>
    <n v="105"/>
    <x v="64"/>
    <s v="≤120 mg/dl"/>
    <n v="0"/>
    <n v="154"/>
    <s v="Sì"/>
    <n v="0.6"/>
    <n v="1"/>
    <n v="0"/>
    <n v="3"/>
    <x v="0"/>
  </r>
  <r>
    <n v="41"/>
    <x v="0"/>
    <x v="1"/>
    <n v="112"/>
    <x v="1"/>
    <s v="≤120 mg/dl"/>
    <n v="1"/>
    <n v="179"/>
    <s v="No"/>
    <n v="0"/>
    <n v="2"/>
    <n v="0"/>
    <n v="2"/>
    <x v="0"/>
  </r>
  <r>
    <n v="45"/>
    <x v="0"/>
    <x v="2"/>
    <n v="128"/>
    <x v="34"/>
    <s v="≤120 mg/dl"/>
    <n v="0"/>
    <n v="170"/>
    <s v="No"/>
    <n v="0"/>
    <n v="2"/>
    <n v="0"/>
    <n v="2"/>
    <x v="0"/>
  </r>
  <r>
    <n v="60"/>
    <x v="1"/>
    <x v="1"/>
    <n v="102"/>
    <x v="65"/>
    <s v="≤120 mg/dl"/>
    <n v="1"/>
    <n v="160"/>
    <s v="No"/>
    <n v="0"/>
    <n v="2"/>
    <n v="1"/>
    <n v="2"/>
    <x v="0"/>
  </r>
  <r>
    <n v="52"/>
    <x v="0"/>
    <x v="0"/>
    <n v="152"/>
    <x v="66"/>
    <s v="&gt;120 mg/dl"/>
    <n v="1"/>
    <n v="178"/>
    <s v="No"/>
    <n v="1.2"/>
    <n v="1"/>
    <n v="0"/>
    <n v="3"/>
    <x v="0"/>
  </r>
  <r>
    <n v="42"/>
    <x v="1"/>
    <x v="3"/>
    <n v="102"/>
    <x v="52"/>
    <s v="≤120 mg/dl"/>
    <n v="0"/>
    <n v="122"/>
    <s v="No"/>
    <n v="0.6"/>
    <n v="1"/>
    <n v="0"/>
    <n v="2"/>
    <x v="0"/>
  </r>
  <r>
    <n v="67"/>
    <x v="1"/>
    <x v="1"/>
    <n v="115"/>
    <x v="67"/>
    <s v="≤120 mg/dl"/>
    <n v="0"/>
    <n v="160"/>
    <s v="No"/>
    <n v="1.6"/>
    <n v="1"/>
    <n v="0"/>
    <n v="3"/>
    <x v="0"/>
  </r>
  <r>
    <n v="68"/>
    <x v="0"/>
    <x v="1"/>
    <n v="118"/>
    <x v="68"/>
    <s v="≤120 mg/dl"/>
    <n v="1"/>
    <n v="151"/>
    <s v="No"/>
    <n v="1"/>
    <n v="2"/>
    <n v="1"/>
    <n v="3"/>
    <x v="0"/>
  </r>
  <r>
    <n v="46"/>
    <x v="0"/>
    <x v="2"/>
    <n v="101"/>
    <x v="25"/>
    <s v="&gt;120 mg/dl"/>
    <n v="1"/>
    <n v="156"/>
    <s v="No"/>
    <n v="0"/>
    <n v="2"/>
    <n v="0"/>
    <n v="3"/>
    <x v="0"/>
  </r>
  <r>
    <n v="54"/>
    <x v="1"/>
    <x v="1"/>
    <n v="110"/>
    <x v="69"/>
    <s v="≤120 mg/dl"/>
    <n v="1"/>
    <n v="158"/>
    <s v="No"/>
    <n v="1.6"/>
    <n v="1"/>
    <n v="0"/>
    <n v="2"/>
    <x v="0"/>
  </r>
  <r>
    <n v="58"/>
    <x v="1"/>
    <x v="3"/>
    <n v="100"/>
    <x v="70"/>
    <s v="≤120 mg/dl"/>
    <n v="0"/>
    <n v="122"/>
    <s v="No"/>
    <n v="1"/>
    <n v="1"/>
    <n v="0"/>
    <n v="2"/>
    <x v="0"/>
  </r>
  <r>
    <n v="48"/>
    <x v="0"/>
    <x v="1"/>
    <n v="124"/>
    <x v="71"/>
    <s v="&gt;120 mg/dl"/>
    <n v="1"/>
    <n v="175"/>
    <s v="No"/>
    <n v="0"/>
    <n v="2"/>
    <n v="2"/>
    <n v="2"/>
    <x v="0"/>
  </r>
  <r>
    <n v="57"/>
    <x v="0"/>
    <x v="3"/>
    <n v="132"/>
    <x v="72"/>
    <s v="≤120 mg/dl"/>
    <n v="1"/>
    <n v="168"/>
    <s v="Sì"/>
    <n v="0"/>
    <n v="2"/>
    <n v="0"/>
    <n v="3"/>
    <x v="0"/>
  </r>
  <r>
    <n v="52"/>
    <x v="0"/>
    <x v="1"/>
    <n v="138"/>
    <x v="73"/>
    <s v="≤120 mg/dl"/>
    <n v="1"/>
    <n v="169"/>
    <s v="No"/>
    <n v="0"/>
    <n v="2"/>
    <n v="4"/>
    <n v="2"/>
    <x v="0"/>
  </r>
  <r>
    <n v="54"/>
    <x v="1"/>
    <x v="2"/>
    <n v="132"/>
    <x v="74"/>
    <s v="&gt;120 mg/dl"/>
    <n v="0"/>
    <n v="159"/>
    <s v="Sì"/>
    <n v="0"/>
    <n v="2"/>
    <n v="1"/>
    <n v="2"/>
    <x v="0"/>
  </r>
  <r>
    <n v="45"/>
    <x v="1"/>
    <x v="2"/>
    <n v="112"/>
    <x v="75"/>
    <s v="≤120 mg/dl"/>
    <n v="1"/>
    <n v="138"/>
    <s v="No"/>
    <n v="0"/>
    <n v="1"/>
    <n v="0"/>
    <n v="2"/>
    <x v="0"/>
  </r>
  <r>
    <n v="53"/>
    <x v="0"/>
    <x v="3"/>
    <n v="142"/>
    <x v="17"/>
    <s v="≤120 mg/dl"/>
    <n v="0"/>
    <n v="111"/>
    <s v="Sì"/>
    <n v="0"/>
    <n v="2"/>
    <n v="0"/>
    <n v="3"/>
    <x v="0"/>
  </r>
  <r>
    <n v="62"/>
    <x v="1"/>
    <x v="3"/>
    <n v="140"/>
    <x v="76"/>
    <s v="≤120 mg/dl"/>
    <n v="0"/>
    <n v="157"/>
    <s v="No"/>
    <n v="1.2"/>
    <n v="1"/>
    <n v="0"/>
    <n v="2"/>
    <x v="0"/>
  </r>
  <r>
    <n v="52"/>
    <x v="0"/>
    <x v="3"/>
    <n v="108"/>
    <x v="0"/>
    <s v="&gt;120 mg/dl"/>
    <n v="1"/>
    <n v="147"/>
    <s v="No"/>
    <n v="0.1"/>
    <n v="2"/>
    <n v="3"/>
    <n v="3"/>
    <x v="0"/>
  </r>
  <r>
    <n v="43"/>
    <x v="0"/>
    <x v="1"/>
    <n v="130"/>
    <x v="77"/>
    <s v="≤120 mg/dl"/>
    <n v="1"/>
    <n v="162"/>
    <s v="No"/>
    <n v="1.9"/>
    <n v="2"/>
    <n v="1"/>
    <n v="2"/>
    <x v="0"/>
  </r>
  <r>
    <n v="53"/>
    <x v="0"/>
    <x v="1"/>
    <n v="130"/>
    <x v="78"/>
    <s v="&gt;120 mg/dl"/>
    <n v="0"/>
    <n v="173"/>
    <s v="No"/>
    <n v="0"/>
    <n v="2"/>
    <n v="3"/>
    <n v="2"/>
    <x v="0"/>
  </r>
  <r>
    <n v="42"/>
    <x v="0"/>
    <x v="0"/>
    <n v="148"/>
    <x v="79"/>
    <s v="≤120 mg/dl"/>
    <n v="0"/>
    <n v="178"/>
    <s v="No"/>
    <n v="0.8"/>
    <n v="2"/>
    <n v="2"/>
    <n v="2"/>
    <x v="0"/>
  </r>
  <r>
    <n v="59"/>
    <x v="0"/>
    <x v="0"/>
    <n v="178"/>
    <x v="80"/>
    <s v="≤120 mg/dl"/>
    <n v="0"/>
    <n v="145"/>
    <s v="No"/>
    <n v="4.2"/>
    <n v="0"/>
    <n v="0"/>
    <n v="3"/>
    <x v="0"/>
  </r>
  <r>
    <n v="63"/>
    <x v="1"/>
    <x v="2"/>
    <n v="140"/>
    <x v="81"/>
    <s v="≤120 mg/dl"/>
    <n v="1"/>
    <n v="179"/>
    <s v="No"/>
    <n v="0"/>
    <n v="2"/>
    <n v="2"/>
    <n v="2"/>
    <x v="0"/>
  </r>
  <r>
    <n v="42"/>
    <x v="0"/>
    <x v="1"/>
    <n v="120"/>
    <x v="64"/>
    <s v="&gt;120 mg/dl"/>
    <n v="1"/>
    <n v="194"/>
    <s v="No"/>
    <n v="0.8"/>
    <n v="0"/>
    <n v="0"/>
    <n v="3"/>
    <x v="0"/>
  </r>
  <r>
    <n v="50"/>
    <x v="0"/>
    <x v="1"/>
    <n v="129"/>
    <x v="82"/>
    <s v="≤120 mg/dl"/>
    <n v="1"/>
    <n v="163"/>
    <s v="No"/>
    <n v="0"/>
    <n v="2"/>
    <n v="0"/>
    <n v="2"/>
    <x v="0"/>
  </r>
  <r>
    <n v="68"/>
    <x v="1"/>
    <x v="1"/>
    <n v="120"/>
    <x v="13"/>
    <s v="≤120 mg/dl"/>
    <n v="0"/>
    <n v="115"/>
    <s v="No"/>
    <n v="1.5"/>
    <n v="1"/>
    <n v="0"/>
    <n v="2"/>
    <x v="0"/>
  </r>
  <r>
    <n v="69"/>
    <x v="0"/>
    <x v="0"/>
    <n v="160"/>
    <x v="19"/>
    <s v="&gt;120 mg/dl"/>
    <n v="0"/>
    <n v="131"/>
    <s v="No"/>
    <n v="0.1"/>
    <n v="1"/>
    <n v="1"/>
    <n v="2"/>
    <x v="0"/>
  </r>
  <r>
    <n v="45"/>
    <x v="1"/>
    <x v="3"/>
    <n v="138"/>
    <x v="3"/>
    <s v="≤120 mg/dl"/>
    <n v="0"/>
    <n v="152"/>
    <s v="Sì"/>
    <n v="0.2"/>
    <n v="1"/>
    <n v="0"/>
    <n v="2"/>
    <x v="0"/>
  </r>
  <r>
    <n v="50"/>
    <x v="1"/>
    <x v="2"/>
    <n v="120"/>
    <x v="79"/>
    <s v="≤120 mg/dl"/>
    <n v="1"/>
    <n v="162"/>
    <s v="No"/>
    <n v="1.1000000000000001"/>
    <n v="2"/>
    <n v="0"/>
    <n v="2"/>
    <x v="0"/>
  </r>
  <r>
    <n v="50"/>
    <x v="1"/>
    <x v="3"/>
    <n v="110"/>
    <x v="83"/>
    <s v="≤120 mg/dl"/>
    <n v="0"/>
    <n v="159"/>
    <s v="No"/>
    <n v="0"/>
    <n v="2"/>
    <n v="0"/>
    <n v="2"/>
    <x v="0"/>
  </r>
  <r>
    <n v="64"/>
    <x v="1"/>
    <x v="3"/>
    <n v="180"/>
    <x v="39"/>
    <s v="≤120 mg/dl"/>
    <n v="1"/>
    <n v="154"/>
    <s v="Sì"/>
    <n v="0"/>
    <n v="2"/>
    <n v="0"/>
    <n v="2"/>
    <x v="0"/>
  </r>
  <r>
    <n v="57"/>
    <x v="0"/>
    <x v="1"/>
    <n v="150"/>
    <x v="84"/>
    <s v="&gt;120 mg/dl"/>
    <n v="1"/>
    <n v="173"/>
    <s v="No"/>
    <n v="0.2"/>
    <n v="2"/>
    <n v="1"/>
    <n v="3"/>
    <x v="0"/>
  </r>
  <r>
    <n v="64"/>
    <x v="1"/>
    <x v="1"/>
    <n v="140"/>
    <x v="85"/>
    <s v="≤120 mg/dl"/>
    <n v="1"/>
    <n v="133"/>
    <s v="No"/>
    <n v="0.2"/>
    <n v="2"/>
    <n v="0"/>
    <n v="3"/>
    <x v="0"/>
  </r>
  <r>
    <n v="43"/>
    <x v="0"/>
    <x v="3"/>
    <n v="110"/>
    <x v="13"/>
    <s v="≤120 mg/dl"/>
    <n v="1"/>
    <n v="161"/>
    <s v="No"/>
    <n v="0"/>
    <n v="2"/>
    <n v="0"/>
    <n v="3"/>
    <x v="0"/>
  </r>
  <r>
    <n v="55"/>
    <x v="0"/>
    <x v="2"/>
    <n v="130"/>
    <x v="86"/>
    <s v="≤120 mg/dl"/>
    <n v="1"/>
    <n v="155"/>
    <s v="No"/>
    <n v="0"/>
    <n v="2"/>
    <n v="0"/>
    <n v="2"/>
    <x v="0"/>
  </r>
  <r>
    <n v="37"/>
    <x v="1"/>
    <x v="1"/>
    <n v="120"/>
    <x v="87"/>
    <s v="≤120 mg/dl"/>
    <n v="1"/>
    <n v="170"/>
    <s v="No"/>
    <n v="0"/>
    <n v="2"/>
    <n v="0"/>
    <n v="2"/>
    <x v="0"/>
  </r>
  <r>
    <n v="41"/>
    <x v="0"/>
    <x v="1"/>
    <n v="130"/>
    <x v="69"/>
    <s v="≤120 mg/dl"/>
    <n v="0"/>
    <n v="168"/>
    <s v="No"/>
    <n v="2"/>
    <n v="1"/>
    <n v="0"/>
    <n v="2"/>
    <x v="0"/>
  </r>
  <r>
    <n v="56"/>
    <x v="0"/>
    <x v="0"/>
    <n v="120"/>
    <x v="88"/>
    <s v="≤120 mg/dl"/>
    <n v="0"/>
    <n v="162"/>
    <s v="No"/>
    <n v="1.9"/>
    <n v="1"/>
    <n v="0"/>
    <n v="3"/>
    <x v="0"/>
  </r>
  <r>
    <n v="46"/>
    <x v="1"/>
    <x v="2"/>
    <n v="105"/>
    <x v="2"/>
    <s v="≤120 mg/dl"/>
    <n v="1"/>
    <n v="172"/>
    <s v="No"/>
    <n v="0"/>
    <n v="2"/>
    <n v="0"/>
    <n v="2"/>
    <x v="0"/>
  </r>
  <r>
    <n v="46"/>
    <x v="1"/>
    <x v="3"/>
    <n v="138"/>
    <x v="20"/>
    <s v="≤120 mg/dl"/>
    <n v="0"/>
    <n v="152"/>
    <s v="Sì"/>
    <n v="0"/>
    <n v="1"/>
    <n v="0"/>
    <n v="2"/>
    <x v="0"/>
  </r>
  <r>
    <n v="64"/>
    <x v="1"/>
    <x v="3"/>
    <n v="130"/>
    <x v="51"/>
    <s v="≤120 mg/dl"/>
    <n v="1"/>
    <n v="122"/>
    <s v="No"/>
    <n v="2"/>
    <n v="1"/>
    <n v="2"/>
    <n v="2"/>
    <x v="0"/>
  </r>
  <r>
    <n v="59"/>
    <x v="0"/>
    <x v="3"/>
    <n v="138"/>
    <x v="89"/>
    <s v="≤120 mg/dl"/>
    <n v="0"/>
    <n v="182"/>
    <s v="No"/>
    <n v="0"/>
    <n v="2"/>
    <n v="0"/>
    <n v="2"/>
    <x v="0"/>
  </r>
  <r>
    <n v="41"/>
    <x v="1"/>
    <x v="1"/>
    <n v="112"/>
    <x v="90"/>
    <s v="≤120 mg/dl"/>
    <n v="0"/>
    <n v="172"/>
    <s v="Sì"/>
    <n v="0"/>
    <n v="2"/>
    <n v="0"/>
    <n v="2"/>
    <x v="0"/>
  </r>
  <r>
    <n v="54"/>
    <x v="1"/>
    <x v="1"/>
    <n v="108"/>
    <x v="91"/>
    <s v="≤120 mg/dl"/>
    <n v="0"/>
    <n v="167"/>
    <s v="No"/>
    <n v="0"/>
    <n v="2"/>
    <n v="0"/>
    <n v="2"/>
    <x v="0"/>
  </r>
  <r>
    <n v="39"/>
    <x v="1"/>
    <x v="1"/>
    <n v="94"/>
    <x v="8"/>
    <s v="≤120 mg/dl"/>
    <n v="1"/>
    <n v="179"/>
    <s v="No"/>
    <n v="0"/>
    <n v="2"/>
    <n v="0"/>
    <n v="2"/>
    <x v="0"/>
  </r>
  <r>
    <n v="34"/>
    <x v="1"/>
    <x v="2"/>
    <n v="118"/>
    <x v="92"/>
    <s v="≤120 mg/dl"/>
    <n v="1"/>
    <n v="192"/>
    <s v="No"/>
    <n v="0.7"/>
    <n v="2"/>
    <n v="0"/>
    <n v="2"/>
    <x v="0"/>
  </r>
  <r>
    <n v="47"/>
    <x v="0"/>
    <x v="3"/>
    <n v="112"/>
    <x v="2"/>
    <s v="≤120 mg/dl"/>
    <n v="1"/>
    <n v="143"/>
    <s v="No"/>
    <n v="0.1"/>
    <n v="2"/>
    <n v="0"/>
    <n v="2"/>
    <x v="0"/>
  </r>
  <r>
    <n v="67"/>
    <x v="1"/>
    <x v="1"/>
    <n v="152"/>
    <x v="68"/>
    <s v="≤120 mg/dl"/>
    <n v="1"/>
    <n v="172"/>
    <s v="No"/>
    <n v="0"/>
    <n v="2"/>
    <n v="1"/>
    <n v="2"/>
    <x v="0"/>
  </r>
  <r>
    <n v="52"/>
    <x v="1"/>
    <x v="1"/>
    <n v="136"/>
    <x v="82"/>
    <s v="≤120 mg/dl"/>
    <n v="0"/>
    <n v="169"/>
    <s v="No"/>
    <n v="0.1"/>
    <n v="1"/>
    <n v="0"/>
    <n v="2"/>
    <x v="0"/>
  </r>
  <r>
    <n v="74"/>
    <x v="1"/>
    <x v="2"/>
    <n v="120"/>
    <x v="32"/>
    <s v="≤120 mg/dl"/>
    <n v="0"/>
    <n v="121"/>
    <s v="Sì"/>
    <n v="0.2"/>
    <n v="2"/>
    <n v="1"/>
    <n v="2"/>
    <x v="0"/>
  </r>
  <r>
    <n v="54"/>
    <x v="1"/>
    <x v="1"/>
    <n v="160"/>
    <x v="47"/>
    <s v="≤120 mg/dl"/>
    <n v="1"/>
    <n v="163"/>
    <s v="No"/>
    <n v="0"/>
    <n v="2"/>
    <n v="1"/>
    <n v="2"/>
    <x v="0"/>
  </r>
  <r>
    <n v="49"/>
    <x v="1"/>
    <x v="2"/>
    <n v="134"/>
    <x v="89"/>
    <s v="≤120 mg/dl"/>
    <n v="1"/>
    <n v="162"/>
    <s v="No"/>
    <n v="0"/>
    <n v="1"/>
    <n v="0"/>
    <n v="2"/>
    <x v="0"/>
  </r>
  <r>
    <n v="42"/>
    <x v="0"/>
    <x v="2"/>
    <n v="120"/>
    <x v="93"/>
    <s v="≤120 mg/dl"/>
    <n v="1"/>
    <n v="162"/>
    <s v="No"/>
    <n v="0"/>
    <n v="2"/>
    <n v="0"/>
    <n v="2"/>
    <x v="0"/>
  </r>
  <r>
    <n v="41"/>
    <x v="0"/>
    <x v="2"/>
    <n v="110"/>
    <x v="40"/>
    <s v="≤120 mg/dl"/>
    <n v="1"/>
    <n v="153"/>
    <s v="No"/>
    <n v="0"/>
    <n v="2"/>
    <n v="0"/>
    <n v="2"/>
    <x v="0"/>
  </r>
  <r>
    <n v="41"/>
    <x v="1"/>
    <x v="2"/>
    <n v="126"/>
    <x v="94"/>
    <s v="≤120 mg/dl"/>
    <n v="1"/>
    <n v="163"/>
    <s v="No"/>
    <n v="0"/>
    <n v="2"/>
    <n v="0"/>
    <n v="2"/>
    <x v="0"/>
  </r>
  <r>
    <n v="49"/>
    <x v="1"/>
    <x v="3"/>
    <n v="130"/>
    <x v="32"/>
    <s v="≤120 mg/dl"/>
    <n v="1"/>
    <n v="163"/>
    <s v="No"/>
    <n v="0"/>
    <n v="2"/>
    <n v="0"/>
    <n v="2"/>
    <x v="0"/>
  </r>
  <r>
    <n v="60"/>
    <x v="1"/>
    <x v="1"/>
    <n v="120"/>
    <x v="95"/>
    <s v="&gt;120 mg/dl"/>
    <n v="1"/>
    <n v="96"/>
    <s v="No"/>
    <n v="0"/>
    <n v="2"/>
    <n v="0"/>
    <n v="2"/>
    <x v="0"/>
  </r>
  <r>
    <n v="62"/>
    <x v="0"/>
    <x v="2"/>
    <n v="128"/>
    <x v="36"/>
    <s v="&gt;120 mg/dl"/>
    <n v="0"/>
    <n v="140"/>
    <s v="No"/>
    <n v="0"/>
    <n v="2"/>
    <n v="0"/>
    <n v="2"/>
    <x v="0"/>
  </r>
  <r>
    <n v="57"/>
    <x v="0"/>
    <x v="3"/>
    <n v="110"/>
    <x v="47"/>
    <s v="≤120 mg/dl"/>
    <n v="1"/>
    <n v="126"/>
    <s v="Sì"/>
    <n v="1.5"/>
    <n v="1"/>
    <n v="0"/>
    <n v="1"/>
    <x v="0"/>
  </r>
  <r>
    <n v="64"/>
    <x v="0"/>
    <x v="3"/>
    <n v="128"/>
    <x v="7"/>
    <s v="≤120 mg/dl"/>
    <n v="1"/>
    <n v="105"/>
    <s v="Sì"/>
    <n v="0.2"/>
    <n v="1"/>
    <n v="1"/>
    <n v="3"/>
    <x v="0"/>
  </r>
  <r>
    <n v="51"/>
    <x v="1"/>
    <x v="1"/>
    <n v="120"/>
    <x v="93"/>
    <s v="≤120 mg/dl"/>
    <n v="0"/>
    <n v="157"/>
    <s v="No"/>
    <n v="0.6"/>
    <n v="2"/>
    <n v="0"/>
    <n v="2"/>
    <x v="0"/>
  </r>
  <r>
    <n v="43"/>
    <x v="0"/>
    <x v="3"/>
    <n v="115"/>
    <x v="51"/>
    <s v="≤120 mg/dl"/>
    <n v="1"/>
    <n v="181"/>
    <s v="No"/>
    <n v="1.2"/>
    <n v="1"/>
    <n v="0"/>
    <n v="2"/>
    <x v="0"/>
  </r>
  <r>
    <n v="42"/>
    <x v="1"/>
    <x v="1"/>
    <n v="120"/>
    <x v="58"/>
    <s v="≤120 mg/dl"/>
    <n v="1"/>
    <n v="173"/>
    <s v="No"/>
    <n v="0"/>
    <n v="1"/>
    <n v="0"/>
    <n v="2"/>
    <x v="0"/>
  </r>
  <r>
    <n v="67"/>
    <x v="1"/>
    <x v="3"/>
    <n v="106"/>
    <x v="73"/>
    <s v="≤120 mg/dl"/>
    <n v="1"/>
    <n v="142"/>
    <s v="No"/>
    <n v="0.3"/>
    <n v="2"/>
    <n v="2"/>
    <n v="2"/>
    <x v="0"/>
  </r>
  <r>
    <n v="76"/>
    <x v="1"/>
    <x v="1"/>
    <n v="140"/>
    <x v="25"/>
    <s v="≤120 mg/dl"/>
    <n v="2"/>
    <n v="116"/>
    <s v="No"/>
    <n v="1.1000000000000001"/>
    <n v="1"/>
    <n v="0"/>
    <n v="2"/>
    <x v="0"/>
  </r>
  <r>
    <n v="70"/>
    <x v="0"/>
    <x v="2"/>
    <n v="156"/>
    <x v="35"/>
    <s v="≤120 mg/dl"/>
    <n v="0"/>
    <n v="143"/>
    <s v="No"/>
    <n v="0"/>
    <n v="2"/>
    <n v="0"/>
    <n v="2"/>
    <x v="0"/>
  </r>
  <r>
    <n v="44"/>
    <x v="1"/>
    <x v="1"/>
    <n v="118"/>
    <x v="96"/>
    <s v="≤120 mg/dl"/>
    <n v="1"/>
    <n v="149"/>
    <s v="No"/>
    <n v="0.3"/>
    <n v="1"/>
    <n v="1"/>
    <n v="2"/>
    <x v="0"/>
  </r>
  <r>
    <n v="60"/>
    <x v="1"/>
    <x v="0"/>
    <n v="150"/>
    <x v="64"/>
    <s v="≤120 mg/dl"/>
    <n v="1"/>
    <n v="171"/>
    <s v="No"/>
    <n v="0.9"/>
    <n v="2"/>
    <n v="0"/>
    <n v="2"/>
    <x v="0"/>
  </r>
  <r>
    <n v="44"/>
    <x v="0"/>
    <x v="1"/>
    <n v="120"/>
    <x v="17"/>
    <s v="≤120 mg/dl"/>
    <n v="1"/>
    <n v="169"/>
    <s v="No"/>
    <n v="0"/>
    <n v="2"/>
    <n v="0"/>
    <n v="2"/>
    <x v="0"/>
  </r>
  <r>
    <n v="42"/>
    <x v="0"/>
    <x v="1"/>
    <n v="130"/>
    <x v="97"/>
    <s v="≤120 mg/dl"/>
    <n v="1"/>
    <n v="150"/>
    <s v="No"/>
    <n v="0"/>
    <n v="2"/>
    <n v="0"/>
    <n v="2"/>
    <x v="0"/>
  </r>
  <r>
    <n v="66"/>
    <x v="0"/>
    <x v="3"/>
    <n v="160"/>
    <x v="98"/>
    <s v="≤120 mg/dl"/>
    <n v="0"/>
    <n v="138"/>
    <s v="No"/>
    <n v="2.2999999999999998"/>
    <n v="2"/>
    <n v="0"/>
    <n v="1"/>
    <x v="0"/>
  </r>
  <r>
    <n v="71"/>
    <x v="1"/>
    <x v="3"/>
    <n v="112"/>
    <x v="99"/>
    <s v="≤120 mg/dl"/>
    <n v="1"/>
    <n v="125"/>
    <s v="No"/>
    <n v="1.6"/>
    <n v="1"/>
    <n v="0"/>
    <n v="2"/>
    <x v="0"/>
  </r>
  <r>
    <n v="64"/>
    <x v="0"/>
    <x v="0"/>
    <n v="170"/>
    <x v="60"/>
    <s v="≤120 mg/dl"/>
    <n v="0"/>
    <n v="155"/>
    <s v="No"/>
    <n v="0.6"/>
    <n v="1"/>
    <n v="0"/>
    <n v="3"/>
    <x v="0"/>
  </r>
  <r>
    <n v="66"/>
    <x v="1"/>
    <x v="1"/>
    <n v="146"/>
    <x v="100"/>
    <s v="≤120 mg/dl"/>
    <n v="0"/>
    <n v="152"/>
    <s v="No"/>
    <n v="0"/>
    <n v="1"/>
    <n v="1"/>
    <n v="2"/>
    <x v="0"/>
  </r>
  <r>
    <n v="39"/>
    <x v="1"/>
    <x v="1"/>
    <n v="138"/>
    <x v="57"/>
    <s v="≤120 mg/dl"/>
    <n v="1"/>
    <n v="152"/>
    <s v="No"/>
    <n v="0"/>
    <n v="1"/>
    <n v="0"/>
    <n v="2"/>
    <x v="0"/>
  </r>
  <r>
    <n v="58"/>
    <x v="1"/>
    <x v="3"/>
    <n v="130"/>
    <x v="25"/>
    <s v="≤120 mg/dl"/>
    <n v="1"/>
    <n v="131"/>
    <s v="No"/>
    <n v="0.6"/>
    <n v="1"/>
    <n v="0"/>
    <n v="2"/>
    <x v="0"/>
  </r>
  <r>
    <n v="47"/>
    <x v="0"/>
    <x v="1"/>
    <n v="130"/>
    <x v="101"/>
    <s v="≤120 mg/dl"/>
    <n v="1"/>
    <n v="179"/>
    <s v="No"/>
    <n v="0"/>
    <n v="2"/>
    <n v="0"/>
    <n v="2"/>
    <x v="0"/>
  </r>
  <r>
    <n v="35"/>
    <x v="0"/>
    <x v="2"/>
    <n v="122"/>
    <x v="5"/>
    <s v="≤120 mg/dl"/>
    <n v="1"/>
    <n v="174"/>
    <s v="No"/>
    <n v="0"/>
    <n v="2"/>
    <n v="0"/>
    <n v="2"/>
    <x v="0"/>
  </r>
  <r>
    <n v="58"/>
    <x v="0"/>
    <x v="2"/>
    <n v="125"/>
    <x v="57"/>
    <s v="≤120 mg/dl"/>
    <n v="1"/>
    <n v="144"/>
    <s v="No"/>
    <n v="0.4"/>
    <n v="1"/>
    <n v="4"/>
    <n v="3"/>
    <x v="0"/>
  </r>
  <r>
    <n v="56"/>
    <x v="0"/>
    <x v="2"/>
    <n v="130"/>
    <x v="62"/>
    <s v="≤120 mg/dl"/>
    <n v="0"/>
    <n v="163"/>
    <s v="No"/>
    <n v="0"/>
    <n v="2"/>
    <n v="0"/>
    <n v="3"/>
    <x v="0"/>
  </r>
  <r>
    <n v="56"/>
    <x v="0"/>
    <x v="2"/>
    <n v="120"/>
    <x v="64"/>
    <s v="≤120 mg/dl"/>
    <n v="1"/>
    <n v="169"/>
    <s v="No"/>
    <n v="0"/>
    <n v="0"/>
    <n v="0"/>
    <n v="2"/>
    <x v="0"/>
  </r>
  <r>
    <n v="55"/>
    <x v="1"/>
    <x v="2"/>
    <n v="132"/>
    <x v="102"/>
    <s v="≤120 mg/dl"/>
    <n v="1"/>
    <n v="166"/>
    <s v="No"/>
    <n v="1.2"/>
    <n v="2"/>
    <n v="0"/>
    <n v="2"/>
    <x v="0"/>
  </r>
  <r>
    <n v="41"/>
    <x v="0"/>
    <x v="2"/>
    <n v="120"/>
    <x v="103"/>
    <s v="≤120 mg/dl"/>
    <n v="1"/>
    <n v="182"/>
    <s v="No"/>
    <n v="0"/>
    <n v="2"/>
    <n v="0"/>
    <n v="2"/>
    <x v="0"/>
  </r>
  <r>
    <n v="38"/>
    <x v="0"/>
    <x v="1"/>
    <n v="138"/>
    <x v="23"/>
    <s v="≤120 mg/dl"/>
    <n v="1"/>
    <n v="173"/>
    <s v="No"/>
    <n v="0"/>
    <n v="2"/>
    <n v="4"/>
    <n v="2"/>
    <x v="0"/>
  </r>
  <r>
    <n v="38"/>
    <x v="0"/>
    <x v="1"/>
    <n v="138"/>
    <x v="23"/>
    <s v="≤120 mg/dl"/>
    <n v="1"/>
    <n v="173"/>
    <s v="No"/>
    <n v="0"/>
    <n v="2"/>
    <n v="4"/>
    <n v="2"/>
    <x v="0"/>
  </r>
  <r>
    <n v="67"/>
    <x v="0"/>
    <x v="3"/>
    <n v="160"/>
    <x v="104"/>
    <s v="≤120 mg/dl"/>
    <n v="0"/>
    <n v="108"/>
    <s v="Sì"/>
    <n v="1.5"/>
    <n v="1"/>
    <n v="3"/>
    <n v="2"/>
    <x v="1"/>
  </r>
  <r>
    <n v="67"/>
    <x v="0"/>
    <x v="3"/>
    <n v="120"/>
    <x v="105"/>
    <s v="≤120 mg/dl"/>
    <n v="0"/>
    <n v="129"/>
    <s v="Sì"/>
    <n v="2.6"/>
    <n v="1"/>
    <n v="2"/>
    <n v="3"/>
    <x v="1"/>
  </r>
  <r>
    <n v="62"/>
    <x v="1"/>
    <x v="3"/>
    <n v="140"/>
    <x v="90"/>
    <s v="≤120 mg/dl"/>
    <n v="0"/>
    <n v="160"/>
    <s v="No"/>
    <n v="3.6"/>
    <n v="0"/>
    <n v="2"/>
    <n v="2"/>
    <x v="1"/>
  </r>
  <r>
    <n v="63"/>
    <x v="0"/>
    <x v="3"/>
    <n v="130"/>
    <x v="83"/>
    <s v="≤120 mg/dl"/>
    <n v="0"/>
    <n v="147"/>
    <s v="No"/>
    <n v="1.4"/>
    <n v="1"/>
    <n v="1"/>
    <n v="3"/>
    <x v="1"/>
  </r>
  <r>
    <n v="53"/>
    <x v="0"/>
    <x v="3"/>
    <n v="140"/>
    <x v="55"/>
    <s v="&gt;120 mg/dl"/>
    <n v="0"/>
    <n v="155"/>
    <s v="Sì"/>
    <n v="3.1"/>
    <n v="0"/>
    <n v="0"/>
    <n v="3"/>
    <x v="1"/>
  </r>
  <r>
    <n v="56"/>
    <x v="0"/>
    <x v="1"/>
    <n v="130"/>
    <x v="43"/>
    <s v="&gt;120 mg/dl"/>
    <n v="0"/>
    <n v="142"/>
    <s v="Sì"/>
    <n v="0.6"/>
    <n v="1"/>
    <n v="1"/>
    <n v="1"/>
    <x v="1"/>
  </r>
  <r>
    <n v="48"/>
    <x v="0"/>
    <x v="2"/>
    <n v="110"/>
    <x v="105"/>
    <s v="≤120 mg/dl"/>
    <n v="1"/>
    <n v="168"/>
    <s v="No"/>
    <n v="1"/>
    <n v="0"/>
    <n v="0"/>
    <n v="3"/>
    <x v="1"/>
  </r>
  <r>
    <n v="58"/>
    <x v="0"/>
    <x v="2"/>
    <n v="120"/>
    <x v="106"/>
    <s v="≤120 mg/dl"/>
    <n v="0"/>
    <n v="160"/>
    <s v="No"/>
    <n v="1.8"/>
    <n v="1"/>
    <n v="0"/>
    <n v="2"/>
    <x v="1"/>
  </r>
  <r>
    <n v="58"/>
    <x v="0"/>
    <x v="1"/>
    <n v="132"/>
    <x v="107"/>
    <s v="≤120 mg/dl"/>
    <n v="0"/>
    <n v="173"/>
    <s v="No"/>
    <n v="3.2"/>
    <n v="2"/>
    <n v="2"/>
    <n v="3"/>
    <x v="1"/>
  </r>
  <r>
    <n v="60"/>
    <x v="0"/>
    <x v="3"/>
    <n v="130"/>
    <x v="108"/>
    <s v="≤120 mg/dl"/>
    <n v="0"/>
    <n v="132"/>
    <s v="Sì"/>
    <n v="2.4"/>
    <n v="1"/>
    <n v="2"/>
    <n v="3"/>
    <x v="1"/>
  </r>
  <r>
    <n v="40"/>
    <x v="0"/>
    <x v="3"/>
    <n v="110"/>
    <x v="109"/>
    <s v="≤120 mg/dl"/>
    <n v="0"/>
    <n v="114"/>
    <s v="Sì"/>
    <n v="2"/>
    <n v="1"/>
    <n v="0"/>
    <n v="3"/>
    <x v="1"/>
  </r>
  <r>
    <n v="60"/>
    <x v="0"/>
    <x v="3"/>
    <n v="117"/>
    <x v="110"/>
    <s v="&gt;120 mg/dl"/>
    <n v="1"/>
    <n v="160"/>
    <s v="Sì"/>
    <n v="1.4"/>
    <n v="2"/>
    <n v="2"/>
    <n v="3"/>
    <x v="1"/>
  </r>
  <r>
    <n v="64"/>
    <x v="0"/>
    <x v="1"/>
    <n v="140"/>
    <x v="111"/>
    <s v="≤120 mg/dl"/>
    <n v="1"/>
    <n v="158"/>
    <s v="No"/>
    <n v="0"/>
    <n v="2"/>
    <n v="0"/>
    <n v="2"/>
    <x v="1"/>
  </r>
  <r>
    <n v="43"/>
    <x v="0"/>
    <x v="3"/>
    <n v="120"/>
    <x v="27"/>
    <s v="≤120 mg/dl"/>
    <n v="0"/>
    <n v="120"/>
    <s v="Sì"/>
    <n v="2.5"/>
    <n v="1"/>
    <n v="0"/>
    <n v="3"/>
    <x v="1"/>
  </r>
  <r>
    <n v="57"/>
    <x v="0"/>
    <x v="3"/>
    <n v="150"/>
    <x v="112"/>
    <s v="≤120 mg/dl"/>
    <n v="0"/>
    <n v="112"/>
    <s v="Sì"/>
    <n v="0.6"/>
    <n v="1"/>
    <n v="1"/>
    <n v="1"/>
    <x v="1"/>
  </r>
  <r>
    <n v="55"/>
    <x v="0"/>
    <x v="3"/>
    <n v="132"/>
    <x v="113"/>
    <s v="≤120 mg/dl"/>
    <n v="1"/>
    <n v="132"/>
    <s v="Sì"/>
    <n v="1.2"/>
    <n v="1"/>
    <n v="1"/>
    <n v="3"/>
    <x v="1"/>
  </r>
  <r>
    <n v="65"/>
    <x v="1"/>
    <x v="3"/>
    <n v="150"/>
    <x v="114"/>
    <s v="≤120 mg/dl"/>
    <n v="0"/>
    <n v="114"/>
    <s v="No"/>
    <n v="1"/>
    <n v="1"/>
    <n v="3"/>
    <n v="3"/>
    <x v="1"/>
  </r>
  <r>
    <n v="61"/>
    <x v="1"/>
    <x v="3"/>
    <n v="130"/>
    <x v="115"/>
    <s v="≤120 mg/dl"/>
    <n v="0"/>
    <n v="169"/>
    <s v="No"/>
    <n v="0"/>
    <n v="2"/>
    <n v="0"/>
    <n v="2"/>
    <x v="1"/>
  </r>
  <r>
    <n v="58"/>
    <x v="0"/>
    <x v="1"/>
    <n v="112"/>
    <x v="110"/>
    <s v="≤120 mg/dl"/>
    <n v="0"/>
    <n v="165"/>
    <s v="No"/>
    <n v="2.5"/>
    <n v="1"/>
    <n v="1"/>
    <n v="3"/>
    <x v="1"/>
  </r>
  <r>
    <n v="50"/>
    <x v="0"/>
    <x v="3"/>
    <n v="150"/>
    <x v="20"/>
    <s v="≤120 mg/dl"/>
    <n v="0"/>
    <n v="128"/>
    <s v="No"/>
    <n v="2.6"/>
    <n v="1"/>
    <n v="0"/>
    <n v="3"/>
    <x v="1"/>
  </r>
  <r>
    <n v="44"/>
    <x v="0"/>
    <x v="3"/>
    <n v="112"/>
    <x v="116"/>
    <s v="≤120 mg/dl"/>
    <n v="0"/>
    <n v="153"/>
    <s v="No"/>
    <n v="0"/>
    <n v="2"/>
    <n v="1"/>
    <n v="2"/>
    <x v="1"/>
  </r>
  <r>
    <n v="60"/>
    <x v="0"/>
    <x v="3"/>
    <n v="130"/>
    <x v="101"/>
    <s v="≤120 mg/dl"/>
    <n v="1"/>
    <n v="144"/>
    <s v="Sì"/>
    <n v="1.4"/>
    <n v="2"/>
    <n v="1"/>
    <n v="3"/>
    <x v="1"/>
  </r>
  <r>
    <n v="54"/>
    <x v="0"/>
    <x v="3"/>
    <n v="124"/>
    <x v="12"/>
    <s v="≤120 mg/dl"/>
    <n v="0"/>
    <n v="109"/>
    <s v="Sì"/>
    <n v="2.2000000000000002"/>
    <n v="1"/>
    <n v="1"/>
    <n v="3"/>
    <x v="1"/>
  </r>
  <r>
    <n v="50"/>
    <x v="0"/>
    <x v="1"/>
    <n v="140"/>
    <x v="0"/>
    <s v="≤120 mg/dl"/>
    <n v="1"/>
    <n v="163"/>
    <s v="No"/>
    <n v="0.6"/>
    <n v="1"/>
    <n v="1"/>
    <n v="3"/>
    <x v="1"/>
  </r>
  <r>
    <n v="41"/>
    <x v="0"/>
    <x v="3"/>
    <n v="110"/>
    <x v="117"/>
    <s v="≤120 mg/dl"/>
    <n v="0"/>
    <n v="158"/>
    <s v="No"/>
    <n v="0"/>
    <n v="2"/>
    <n v="0"/>
    <n v="3"/>
    <x v="1"/>
  </r>
  <r>
    <n v="51"/>
    <x v="1"/>
    <x v="3"/>
    <n v="130"/>
    <x v="118"/>
    <s v="≤120 mg/dl"/>
    <n v="1"/>
    <n v="142"/>
    <s v="Sì"/>
    <n v="1.2"/>
    <n v="1"/>
    <n v="0"/>
    <n v="3"/>
    <x v="1"/>
  </r>
  <r>
    <n v="58"/>
    <x v="0"/>
    <x v="3"/>
    <n v="128"/>
    <x v="42"/>
    <s v="≤120 mg/dl"/>
    <n v="0"/>
    <n v="131"/>
    <s v="Sì"/>
    <n v="2.2000000000000002"/>
    <n v="1"/>
    <n v="3"/>
    <n v="3"/>
    <x v="1"/>
  </r>
  <r>
    <n v="54"/>
    <x v="0"/>
    <x v="3"/>
    <n v="120"/>
    <x v="119"/>
    <s v="≤120 mg/dl"/>
    <n v="1"/>
    <n v="113"/>
    <s v="No"/>
    <n v="1.4"/>
    <n v="1"/>
    <n v="1"/>
    <n v="3"/>
    <x v="1"/>
  </r>
  <r>
    <n v="60"/>
    <x v="0"/>
    <x v="3"/>
    <n v="145"/>
    <x v="120"/>
    <s v="≤120 mg/dl"/>
    <n v="0"/>
    <n v="142"/>
    <s v="Sì"/>
    <n v="2.8"/>
    <n v="1"/>
    <n v="2"/>
    <n v="3"/>
    <x v="1"/>
  </r>
  <r>
    <n v="60"/>
    <x v="0"/>
    <x v="1"/>
    <n v="140"/>
    <x v="121"/>
    <s v="≤120 mg/dl"/>
    <n v="0"/>
    <n v="155"/>
    <s v="No"/>
    <n v="3"/>
    <n v="1"/>
    <n v="0"/>
    <n v="2"/>
    <x v="1"/>
  </r>
  <r>
    <n v="59"/>
    <x v="0"/>
    <x v="3"/>
    <n v="170"/>
    <x v="122"/>
    <s v="≤120 mg/dl"/>
    <n v="0"/>
    <n v="140"/>
    <s v="Sì"/>
    <n v="3.4"/>
    <n v="0"/>
    <n v="0"/>
    <n v="3"/>
    <x v="1"/>
  </r>
  <r>
    <n v="46"/>
    <x v="0"/>
    <x v="1"/>
    <n v="150"/>
    <x v="44"/>
    <s v="≤120 mg/dl"/>
    <n v="1"/>
    <n v="147"/>
    <s v="No"/>
    <n v="3.6"/>
    <n v="1"/>
    <n v="0"/>
    <n v="2"/>
    <x v="1"/>
  </r>
  <r>
    <n v="67"/>
    <x v="0"/>
    <x v="3"/>
    <n v="125"/>
    <x v="83"/>
    <s v="&gt;120 mg/dl"/>
    <n v="1"/>
    <n v="163"/>
    <s v="No"/>
    <n v="0.2"/>
    <n v="1"/>
    <n v="2"/>
    <n v="3"/>
    <x v="1"/>
  </r>
  <r>
    <n v="62"/>
    <x v="0"/>
    <x v="3"/>
    <n v="120"/>
    <x v="91"/>
    <s v="≤120 mg/dl"/>
    <n v="1"/>
    <n v="99"/>
    <s v="Sì"/>
    <n v="1.8"/>
    <n v="1"/>
    <n v="2"/>
    <n v="3"/>
    <x v="1"/>
  </r>
  <r>
    <n v="65"/>
    <x v="0"/>
    <x v="3"/>
    <n v="110"/>
    <x v="70"/>
    <s v="≤120 mg/dl"/>
    <n v="0"/>
    <n v="158"/>
    <s v="No"/>
    <n v="0.6"/>
    <n v="2"/>
    <n v="2"/>
    <n v="1"/>
    <x v="1"/>
  </r>
  <r>
    <n v="44"/>
    <x v="0"/>
    <x v="3"/>
    <n v="110"/>
    <x v="25"/>
    <s v="≤120 mg/dl"/>
    <n v="0"/>
    <n v="177"/>
    <s v="No"/>
    <n v="0"/>
    <n v="2"/>
    <n v="1"/>
    <n v="2"/>
    <x v="1"/>
  </r>
  <r>
    <n v="60"/>
    <x v="0"/>
    <x v="3"/>
    <n v="125"/>
    <x v="59"/>
    <s v="≤120 mg/dl"/>
    <n v="0"/>
    <n v="141"/>
    <s v="Sì"/>
    <n v="2.8"/>
    <n v="1"/>
    <n v="1"/>
    <n v="3"/>
    <x v="1"/>
  </r>
  <r>
    <n v="58"/>
    <x v="0"/>
    <x v="3"/>
    <n v="150"/>
    <x v="80"/>
    <s v="≤120 mg/dl"/>
    <n v="0"/>
    <n v="111"/>
    <s v="Sì"/>
    <n v="0.8"/>
    <n v="2"/>
    <n v="0"/>
    <n v="3"/>
    <x v="1"/>
  </r>
  <r>
    <n v="68"/>
    <x v="0"/>
    <x v="1"/>
    <n v="180"/>
    <x v="123"/>
    <s v="&gt;120 mg/dl"/>
    <n v="0"/>
    <n v="150"/>
    <s v="Sì"/>
    <n v="1.6"/>
    <n v="1"/>
    <n v="0"/>
    <n v="3"/>
    <x v="1"/>
  </r>
  <r>
    <n v="62"/>
    <x v="1"/>
    <x v="3"/>
    <n v="160"/>
    <x v="124"/>
    <s v="≤120 mg/dl"/>
    <n v="0"/>
    <n v="145"/>
    <s v="No"/>
    <n v="6.2"/>
    <n v="0"/>
    <n v="3"/>
    <n v="3"/>
    <x v="1"/>
  </r>
  <r>
    <n v="52"/>
    <x v="0"/>
    <x v="3"/>
    <n v="128"/>
    <x v="71"/>
    <s v="≤120 mg/dl"/>
    <n v="1"/>
    <n v="161"/>
    <s v="Sì"/>
    <n v="0"/>
    <n v="2"/>
    <n v="1"/>
    <n v="3"/>
    <x v="1"/>
  </r>
  <r>
    <n v="59"/>
    <x v="0"/>
    <x v="3"/>
    <n v="110"/>
    <x v="10"/>
    <s v="≤120 mg/dl"/>
    <n v="0"/>
    <n v="142"/>
    <s v="Sì"/>
    <n v="1.2"/>
    <n v="1"/>
    <n v="1"/>
    <n v="3"/>
    <x v="1"/>
  </r>
  <r>
    <n v="60"/>
    <x v="1"/>
    <x v="3"/>
    <n v="150"/>
    <x v="59"/>
    <s v="≤120 mg/dl"/>
    <n v="0"/>
    <n v="157"/>
    <s v="No"/>
    <n v="2.6"/>
    <n v="1"/>
    <n v="2"/>
    <n v="3"/>
    <x v="1"/>
  </r>
  <r>
    <n v="49"/>
    <x v="0"/>
    <x v="1"/>
    <n v="120"/>
    <x v="119"/>
    <s v="≤120 mg/dl"/>
    <n v="1"/>
    <n v="139"/>
    <s v="No"/>
    <n v="2"/>
    <n v="1"/>
    <n v="3"/>
    <n v="3"/>
    <x v="1"/>
  </r>
  <r>
    <n v="59"/>
    <x v="0"/>
    <x v="3"/>
    <n v="140"/>
    <x v="27"/>
    <s v="≤120 mg/dl"/>
    <n v="1"/>
    <n v="162"/>
    <s v="Sì"/>
    <n v="0"/>
    <n v="2"/>
    <n v="1"/>
    <n v="3"/>
    <x v="1"/>
  </r>
  <r>
    <n v="57"/>
    <x v="0"/>
    <x v="1"/>
    <n v="128"/>
    <x v="105"/>
    <s v="≤120 mg/dl"/>
    <n v="0"/>
    <n v="150"/>
    <s v="No"/>
    <n v="0.4"/>
    <n v="1"/>
    <n v="1"/>
    <n v="3"/>
    <x v="1"/>
  </r>
  <r>
    <n v="61"/>
    <x v="0"/>
    <x v="3"/>
    <n v="120"/>
    <x v="49"/>
    <s v="≤120 mg/dl"/>
    <n v="1"/>
    <n v="140"/>
    <s v="Sì"/>
    <n v="3.6"/>
    <n v="1"/>
    <n v="1"/>
    <n v="3"/>
    <x v="1"/>
  </r>
  <r>
    <n v="39"/>
    <x v="0"/>
    <x v="3"/>
    <n v="118"/>
    <x v="15"/>
    <s v="≤120 mg/dl"/>
    <n v="1"/>
    <n v="140"/>
    <s v="No"/>
    <n v="1.2"/>
    <n v="1"/>
    <n v="0"/>
    <n v="3"/>
    <x v="1"/>
  </r>
  <r>
    <n v="61"/>
    <x v="1"/>
    <x v="3"/>
    <n v="145"/>
    <x v="125"/>
    <s v="≤120 mg/dl"/>
    <n v="0"/>
    <n v="146"/>
    <s v="Sì"/>
    <n v="1"/>
    <n v="1"/>
    <n v="0"/>
    <n v="3"/>
    <x v="1"/>
  </r>
  <r>
    <n v="56"/>
    <x v="0"/>
    <x v="3"/>
    <n v="125"/>
    <x v="126"/>
    <s v="&gt;120 mg/dl"/>
    <n v="0"/>
    <n v="144"/>
    <s v="Sì"/>
    <n v="1.2"/>
    <n v="1"/>
    <n v="1"/>
    <n v="2"/>
    <x v="1"/>
  </r>
  <r>
    <n v="43"/>
    <x v="1"/>
    <x v="3"/>
    <n v="132"/>
    <x v="127"/>
    <s v="&gt;120 mg/dl"/>
    <n v="0"/>
    <n v="136"/>
    <s v="Sì"/>
    <n v="3"/>
    <n v="1"/>
    <n v="0"/>
    <n v="3"/>
    <x v="1"/>
  </r>
  <r>
    <n v="62"/>
    <x v="1"/>
    <x v="1"/>
    <n v="130"/>
    <x v="7"/>
    <s v="≤120 mg/dl"/>
    <n v="1"/>
    <n v="97"/>
    <s v="No"/>
    <n v="1.2"/>
    <n v="1"/>
    <n v="1"/>
    <n v="3"/>
    <x v="1"/>
  </r>
  <r>
    <n v="63"/>
    <x v="0"/>
    <x v="3"/>
    <n v="130"/>
    <x v="115"/>
    <s v="&gt;120 mg/dl"/>
    <n v="0"/>
    <n v="132"/>
    <s v="Sì"/>
    <n v="1.8"/>
    <n v="2"/>
    <n v="3"/>
    <n v="3"/>
    <x v="1"/>
  </r>
  <r>
    <n v="65"/>
    <x v="0"/>
    <x v="3"/>
    <n v="135"/>
    <x v="83"/>
    <s v="≤120 mg/dl"/>
    <n v="0"/>
    <n v="127"/>
    <s v="No"/>
    <n v="2.8"/>
    <n v="1"/>
    <n v="1"/>
    <n v="3"/>
    <x v="1"/>
  </r>
  <r>
    <n v="48"/>
    <x v="0"/>
    <x v="3"/>
    <n v="130"/>
    <x v="43"/>
    <s v="&gt;120 mg/dl"/>
    <n v="0"/>
    <n v="150"/>
    <s v="Sì"/>
    <n v="0"/>
    <n v="2"/>
    <n v="2"/>
    <n v="3"/>
    <x v="1"/>
  </r>
  <r>
    <n v="63"/>
    <x v="1"/>
    <x v="3"/>
    <n v="150"/>
    <x v="128"/>
    <s v="≤120 mg/dl"/>
    <n v="0"/>
    <n v="154"/>
    <s v="No"/>
    <n v="4"/>
    <n v="1"/>
    <n v="3"/>
    <n v="3"/>
    <x v="1"/>
  </r>
  <r>
    <n v="55"/>
    <x v="0"/>
    <x v="3"/>
    <n v="140"/>
    <x v="129"/>
    <s v="≤120 mg/dl"/>
    <n v="1"/>
    <n v="111"/>
    <s v="Sì"/>
    <n v="5.6"/>
    <n v="0"/>
    <n v="0"/>
    <n v="3"/>
    <x v="1"/>
  </r>
  <r>
    <n v="65"/>
    <x v="0"/>
    <x v="0"/>
    <n v="138"/>
    <x v="120"/>
    <s v="&gt;120 mg/dl"/>
    <n v="0"/>
    <n v="174"/>
    <s v="No"/>
    <n v="1.4"/>
    <n v="1"/>
    <n v="1"/>
    <n v="2"/>
    <x v="1"/>
  </r>
  <r>
    <n v="56"/>
    <x v="1"/>
    <x v="3"/>
    <n v="200"/>
    <x v="74"/>
    <s v="&gt;120 mg/dl"/>
    <n v="0"/>
    <n v="133"/>
    <s v="Sì"/>
    <n v="4"/>
    <n v="0"/>
    <n v="2"/>
    <n v="3"/>
    <x v="1"/>
  </r>
  <r>
    <n v="54"/>
    <x v="0"/>
    <x v="3"/>
    <n v="110"/>
    <x v="10"/>
    <s v="≤120 mg/dl"/>
    <n v="1"/>
    <n v="126"/>
    <s v="Sì"/>
    <n v="2.8"/>
    <n v="1"/>
    <n v="1"/>
    <n v="3"/>
    <x v="1"/>
  </r>
  <r>
    <n v="70"/>
    <x v="0"/>
    <x v="3"/>
    <n v="145"/>
    <x v="130"/>
    <s v="≤120 mg/dl"/>
    <n v="1"/>
    <n v="125"/>
    <s v="Sì"/>
    <n v="2.6"/>
    <n v="0"/>
    <n v="0"/>
    <n v="3"/>
    <x v="1"/>
  </r>
  <r>
    <n v="62"/>
    <x v="0"/>
    <x v="2"/>
    <n v="120"/>
    <x v="131"/>
    <s v="≤120 mg/dl"/>
    <n v="0"/>
    <n v="103"/>
    <s v="No"/>
    <n v="1.4"/>
    <n v="1"/>
    <n v="1"/>
    <n v="3"/>
    <x v="1"/>
  </r>
  <r>
    <n v="35"/>
    <x v="0"/>
    <x v="3"/>
    <n v="120"/>
    <x v="26"/>
    <s v="≤120 mg/dl"/>
    <n v="1"/>
    <n v="130"/>
    <s v="Sì"/>
    <n v="1.6"/>
    <n v="1"/>
    <n v="0"/>
    <n v="3"/>
    <x v="1"/>
  </r>
  <r>
    <n v="59"/>
    <x v="0"/>
    <x v="0"/>
    <n v="170"/>
    <x v="74"/>
    <s v="≤120 mg/dl"/>
    <n v="0"/>
    <n v="159"/>
    <s v="No"/>
    <n v="0.2"/>
    <n v="1"/>
    <n v="0"/>
    <n v="3"/>
    <x v="1"/>
  </r>
  <r>
    <n v="64"/>
    <x v="0"/>
    <x v="1"/>
    <n v="125"/>
    <x v="53"/>
    <s v="≤120 mg/dl"/>
    <n v="1"/>
    <n v="131"/>
    <s v="Sì"/>
    <n v="1.8"/>
    <n v="1"/>
    <n v="0"/>
    <n v="3"/>
    <x v="1"/>
  </r>
  <r>
    <n v="47"/>
    <x v="0"/>
    <x v="1"/>
    <n v="108"/>
    <x v="20"/>
    <s v="≤120 mg/dl"/>
    <n v="1"/>
    <n v="152"/>
    <s v="No"/>
    <n v="0"/>
    <n v="2"/>
    <n v="0"/>
    <n v="2"/>
    <x v="1"/>
  </r>
  <r>
    <n v="57"/>
    <x v="0"/>
    <x v="3"/>
    <n v="165"/>
    <x v="132"/>
    <s v="&gt;120 mg/dl"/>
    <n v="0"/>
    <n v="124"/>
    <s v="No"/>
    <n v="1"/>
    <n v="1"/>
    <n v="3"/>
    <n v="3"/>
    <x v="1"/>
  </r>
  <r>
    <n v="55"/>
    <x v="0"/>
    <x v="3"/>
    <n v="160"/>
    <x v="132"/>
    <s v="≤120 mg/dl"/>
    <n v="0"/>
    <n v="145"/>
    <s v="Sì"/>
    <n v="0.8"/>
    <n v="1"/>
    <n v="1"/>
    <n v="3"/>
    <x v="1"/>
  </r>
  <r>
    <n v="64"/>
    <x v="0"/>
    <x v="3"/>
    <n v="120"/>
    <x v="78"/>
    <s v="≤120 mg/dl"/>
    <n v="0"/>
    <n v="96"/>
    <s v="Sì"/>
    <n v="2.2000000000000002"/>
    <n v="0"/>
    <n v="1"/>
    <n v="2"/>
    <x v="1"/>
  </r>
  <r>
    <n v="70"/>
    <x v="0"/>
    <x v="3"/>
    <n v="130"/>
    <x v="133"/>
    <s v="≤120 mg/dl"/>
    <n v="0"/>
    <n v="109"/>
    <s v="No"/>
    <n v="2.4"/>
    <n v="1"/>
    <n v="3"/>
    <n v="2"/>
    <x v="1"/>
  </r>
  <r>
    <n v="51"/>
    <x v="0"/>
    <x v="3"/>
    <n v="140"/>
    <x v="134"/>
    <s v="≤120 mg/dl"/>
    <n v="1"/>
    <n v="173"/>
    <s v="Sì"/>
    <n v="1.6"/>
    <n v="2"/>
    <n v="0"/>
    <n v="3"/>
    <x v="1"/>
  </r>
  <r>
    <n v="58"/>
    <x v="0"/>
    <x v="3"/>
    <n v="125"/>
    <x v="135"/>
    <s v="≤120 mg/dl"/>
    <n v="0"/>
    <n v="171"/>
    <s v="No"/>
    <n v="0"/>
    <n v="2"/>
    <n v="2"/>
    <n v="3"/>
    <x v="1"/>
  </r>
  <r>
    <n v="60"/>
    <x v="0"/>
    <x v="3"/>
    <n v="140"/>
    <x v="136"/>
    <s v="≤120 mg/dl"/>
    <n v="0"/>
    <n v="170"/>
    <s v="No"/>
    <n v="1.2"/>
    <n v="1"/>
    <n v="2"/>
    <n v="3"/>
    <x v="1"/>
  </r>
  <r>
    <n v="77"/>
    <x v="0"/>
    <x v="3"/>
    <n v="125"/>
    <x v="30"/>
    <s v="≤120 mg/dl"/>
    <n v="0"/>
    <n v="162"/>
    <s v="Sì"/>
    <n v="0"/>
    <n v="2"/>
    <n v="3"/>
    <n v="2"/>
    <x v="1"/>
  </r>
  <r>
    <n v="35"/>
    <x v="0"/>
    <x v="3"/>
    <n v="126"/>
    <x v="120"/>
    <s v="≤120 mg/dl"/>
    <n v="0"/>
    <n v="156"/>
    <s v="Sì"/>
    <n v="0"/>
    <n v="2"/>
    <n v="0"/>
    <n v="3"/>
    <x v="1"/>
  </r>
  <r>
    <n v="70"/>
    <x v="0"/>
    <x v="1"/>
    <n v="160"/>
    <x v="32"/>
    <s v="≤120 mg/dl"/>
    <n v="1"/>
    <n v="112"/>
    <s v="Sì"/>
    <n v="2.9"/>
    <n v="1"/>
    <n v="1"/>
    <n v="3"/>
    <x v="1"/>
  </r>
  <r>
    <n v="59"/>
    <x v="1"/>
    <x v="3"/>
    <n v="174"/>
    <x v="126"/>
    <s v="≤120 mg/dl"/>
    <n v="1"/>
    <n v="143"/>
    <s v="Sì"/>
    <n v="0"/>
    <n v="1"/>
    <n v="0"/>
    <n v="2"/>
    <x v="1"/>
  </r>
  <r>
    <n v="64"/>
    <x v="0"/>
    <x v="3"/>
    <n v="145"/>
    <x v="22"/>
    <s v="≤120 mg/dl"/>
    <n v="0"/>
    <n v="132"/>
    <s v="No"/>
    <n v="2"/>
    <n v="1"/>
    <n v="2"/>
    <n v="1"/>
    <x v="1"/>
  </r>
  <r>
    <n v="57"/>
    <x v="0"/>
    <x v="3"/>
    <n v="152"/>
    <x v="123"/>
    <s v="≤120 mg/dl"/>
    <n v="1"/>
    <n v="88"/>
    <s v="Sì"/>
    <n v="1.2"/>
    <n v="1"/>
    <n v="1"/>
    <n v="3"/>
    <x v="1"/>
  </r>
  <r>
    <n v="56"/>
    <x v="0"/>
    <x v="3"/>
    <n v="132"/>
    <x v="137"/>
    <s v="≤120 mg/dl"/>
    <n v="0"/>
    <n v="105"/>
    <s v="Sì"/>
    <n v="2.1"/>
    <n v="1"/>
    <n v="1"/>
    <n v="1"/>
    <x v="1"/>
  </r>
  <r>
    <n v="48"/>
    <x v="0"/>
    <x v="3"/>
    <n v="124"/>
    <x v="123"/>
    <s v="≤120 mg/dl"/>
    <n v="0"/>
    <n v="166"/>
    <s v="No"/>
    <n v="0.5"/>
    <n v="1"/>
    <n v="0"/>
    <n v="3"/>
    <x v="1"/>
  </r>
  <r>
    <n v="56"/>
    <x v="1"/>
    <x v="3"/>
    <n v="134"/>
    <x v="138"/>
    <s v="≤120 mg/dl"/>
    <n v="0"/>
    <n v="150"/>
    <s v="Sì"/>
    <n v="1.9"/>
    <n v="1"/>
    <n v="2"/>
    <n v="3"/>
    <x v="1"/>
  </r>
  <r>
    <n v="66"/>
    <x v="0"/>
    <x v="2"/>
    <n v="160"/>
    <x v="78"/>
    <s v="≤120 mg/dl"/>
    <n v="1"/>
    <n v="120"/>
    <s v="Sì"/>
    <n v="0"/>
    <n v="1"/>
    <n v="3"/>
    <n v="1"/>
    <x v="1"/>
  </r>
  <r>
    <n v="54"/>
    <x v="0"/>
    <x v="2"/>
    <n v="192"/>
    <x v="14"/>
    <s v="≤120 mg/dl"/>
    <n v="0"/>
    <n v="195"/>
    <s v="No"/>
    <n v="0"/>
    <n v="2"/>
    <n v="1"/>
    <n v="3"/>
    <x v="1"/>
  </r>
  <r>
    <n v="69"/>
    <x v="0"/>
    <x v="1"/>
    <n v="140"/>
    <x v="83"/>
    <s v="≤120 mg/dl"/>
    <n v="0"/>
    <n v="146"/>
    <s v="No"/>
    <n v="2"/>
    <n v="1"/>
    <n v="3"/>
    <n v="3"/>
    <x v="1"/>
  </r>
  <r>
    <n v="51"/>
    <x v="0"/>
    <x v="3"/>
    <n v="140"/>
    <x v="66"/>
    <s v="≤120 mg/dl"/>
    <n v="1"/>
    <n v="122"/>
    <s v="Sì"/>
    <n v="4.2"/>
    <n v="1"/>
    <n v="3"/>
    <n v="3"/>
    <x v="1"/>
  </r>
  <r>
    <n v="43"/>
    <x v="0"/>
    <x v="3"/>
    <n v="132"/>
    <x v="18"/>
    <s v="&gt;120 mg/dl"/>
    <n v="0"/>
    <n v="143"/>
    <s v="Sì"/>
    <n v="0.1"/>
    <n v="1"/>
    <n v="4"/>
    <n v="3"/>
    <x v="1"/>
  </r>
  <r>
    <n v="62"/>
    <x v="1"/>
    <x v="3"/>
    <n v="138"/>
    <x v="6"/>
    <s v="&gt;120 mg/dl"/>
    <n v="1"/>
    <n v="106"/>
    <s v="No"/>
    <n v="1.9"/>
    <n v="1"/>
    <n v="3"/>
    <n v="2"/>
    <x v="1"/>
  </r>
  <r>
    <n v="67"/>
    <x v="0"/>
    <x v="3"/>
    <n v="100"/>
    <x v="134"/>
    <s v="≤120 mg/dl"/>
    <n v="0"/>
    <n v="125"/>
    <s v="Sì"/>
    <n v="0.9"/>
    <n v="1"/>
    <n v="2"/>
    <n v="2"/>
    <x v="1"/>
  </r>
  <r>
    <n v="59"/>
    <x v="0"/>
    <x v="0"/>
    <n v="160"/>
    <x v="28"/>
    <s v="≤120 mg/dl"/>
    <n v="0"/>
    <n v="125"/>
    <s v="No"/>
    <n v="0"/>
    <n v="2"/>
    <n v="0"/>
    <n v="2"/>
    <x v="1"/>
  </r>
  <r>
    <n v="45"/>
    <x v="0"/>
    <x v="3"/>
    <n v="142"/>
    <x v="53"/>
    <s v="≤120 mg/dl"/>
    <n v="0"/>
    <n v="147"/>
    <s v="Sì"/>
    <n v="0"/>
    <n v="1"/>
    <n v="3"/>
    <n v="3"/>
    <x v="1"/>
  </r>
  <r>
    <n v="58"/>
    <x v="0"/>
    <x v="3"/>
    <n v="128"/>
    <x v="139"/>
    <s v="≤120 mg/dl"/>
    <n v="0"/>
    <n v="130"/>
    <s v="Sì"/>
    <n v="3"/>
    <n v="1"/>
    <n v="2"/>
    <n v="3"/>
    <x v="1"/>
  </r>
  <r>
    <n v="50"/>
    <x v="0"/>
    <x v="3"/>
    <n v="144"/>
    <x v="140"/>
    <s v="≤120 mg/dl"/>
    <n v="0"/>
    <n v="126"/>
    <s v="Sì"/>
    <n v="0.9"/>
    <n v="1"/>
    <n v="0"/>
    <n v="3"/>
    <x v="1"/>
  </r>
  <r>
    <n v="62"/>
    <x v="1"/>
    <x v="3"/>
    <n v="150"/>
    <x v="79"/>
    <s v="≤120 mg/dl"/>
    <n v="1"/>
    <n v="154"/>
    <s v="Sì"/>
    <n v="1.4"/>
    <n v="1"/>
    <n v="0"/>
    <n v="2"/>
    <x v="1"/>
  </r>
  <r>
    <n v="38"/>
    <x v="0"/>
    <x v="0"/>
    <n v="120"/>
    <x v="44"/>
    <s v="≤120 mg/dl"/>
    <n v="1"/>
    <n v="182"/>
    <s v="Sì"/>
    <n v="3.8"/>
    <n v="1"/>
    <n v="0"/>
    <n v="3"/>
    <x v="1"/>
  </r>
  <r>
    <n v="66"/>
    <x v="1"/>
    <x v="3"/>
    <n v="178"/>
    <x v="98"/>
    <s v="&gt;120 mg/dl"/>
    <n v="1"/>
    <n v="165"/>
    <s v="Sì"/>
    <n v="1"/>
    <n v="1"/>
    <n v="2"/>
    <n v="3"/>
    <x v="1"/>
  </r>
  <r>
    <n v="52"/>
    <x v="0"/>
    <x v="3"/>
    <n v="112"/>
    <x v="110"/>
    <s v="≤120 mg/dl"/>
    <n v="1"/>
    <n v="160"/>
    <s v="No"/>
    <n v="0"/>
    <n v="2"/>
    <n v="1"/>
    <n v="2"/>
    <x v="1"/>
  </r>
  <r>
    <n v="53"/>
    <x v="0"/>
    <x v="3"/>
    <n v="123"/>
    <x v="120"/>
    <s v="≤120 mg/dl"/>
    <n v="1"/>
    <n v="95"/>
    <s v="Sì"/>
    <n v="2"/>
    <n v="1"/>
    <n v="2"/>
    <n v="3"/>
    <x v="1"/>
  </r>
  <r>
    <n v="63"/>
    <x v="1"/>
    <x v="3"/>
    <n v="108"/>
    <x v="32"/>
    <s v="≤120 mg/dl"/>
    <n v="1"/>
    <n v="169"/>
    <s v="Sì"/>
    <n v="1.8"/>
    <n v="1"/>
    <n v="2"/>
    <n v="2"/>
    <x v="1"/>
  </r>
  <r>
    <n v="54"/>
    <x v="0"/>
    <x v="3"/>
    <n v="110"/>
    <x v="108"/>
    <s v="≤120 mg/dl"/>
    <n v="0"/>
    <n v="108"/>
    <s v="Sì"/>
    <n v="0"/>
    <n v="1"/>
    <n v="1"/>
    <n v="2"/>
    <x v="1"/>
  </r>
  <r>
    <n v="66"/>
    <x v="0"/>
    <x v="3"/>
    <n v="112"/>
    <x v="22"/>
    <s v="≤120 mg/dl"/>
    <n v="0"/>
    <n v="132"/>
    <s v="Sì"/>
    <n v="0.1"/>
    <n v="2"/>
    <n v="1"/>
    <n v="2"/>
    <x v="1"/>
  </r>
  <r>
    <n v="55"/>
    <x v="1"/>
    <x v="3"/>
    <n v="180"/>
    <x v="141"/>
    <s v="≤120 mg/dl"/>
    <n v="2"/>
    <n v="117"/>
    <s v="Sì"/>
    <n v="3.4"/>
    <n v="1"/>
    <n v="0"/>
    <n v="2"/>
    <x v="1"/>
  </r>
  <r>
    <n v="49"/>
    <x v="0"/>
    <x v="1"/>
    <n v="118"/>
    <x v="99"/>
    <s v="≤120 mg/dl"/>
    <n v="0"/>
    <n v="126"/>
    <s v="No"/>
    <n v="0.8"/>
    <n v="2"/>
    <n v="3"/>
    <n v="2"/>
    <x v="1"/>
  </r>
  <r>
    <n v="54"/>
    <x v="0"/>
    <x v="3"/>
    <n v="122"/>
    <x v="104"/>
    <s v="≤120 mg/dl"/>
    <n v="0"/>
    <n v="116"/>
    <s v="Sì"/>
    <n v="3.2"/>
    <n v="1"/>
    <n v="2"/>
    <n v="2"/>
    <x v="1"/>
  </r>
  <r>
    <n v="56"/>
    <x v="0"/>
    <x v="3"/>
    <n v="130"/>
    <x v="14"/>
    <s v="&gt;120 mg/dl"/>
    <n v="0"/>
    <n v="103"/>
    <s v="Sì"/>
    <n v="1.6"/>
    <n v="0"/>
    <n v="0"/>
    <n v="3"/>
    <x v="1"/>
  </r>
  <r>
    <n v="46"/>
    <x v="0"/>
    <x v="3"/>
    <n v="120"/>
    <x v="126"/>
    <s v="≤120 mg/dl"/>
    <n v="0"/>
    <n v="144"/>
    <s v="No"/>
    <n v="0.8"/>
    <n v="2"/>
    <n v="0"/>
    <n v="3"/>
    <x v="1"/>
  </r>
  <r>
    <n v="61"/>
    <x v="0"/>
    <x v="0"/>
    <n v="134"/>
    <x v="19"/>
    <s v="≤120 mg/dl"/>
    <n v="1"/>
    <n v="145"/>
    <s v="No"/>
    <n v="2.6"/>
    <n v="1"/>
    <n v="2"/>
    <n v="2"/>
    <x v="1"/>
  </r>
  <r>
    <n v="67"/>
    <x v="0"/>
    <x v="3"/>
    <n v="120"/>
    <x v="142"/>
    <s v="≤120 mg/dl"/>
    <n v="1"/>
    <n v="71"/>
    <s v="No"/>
    <n v="1"/>
    <n v="1"/>
    <n v="0"/>
    <n v="2"/>
    <x v="1"/>
  </r>
  <r>
    <n v="58"/>
    <x v="0"/>
    <x v="3"/>
    <n v="100"/>
    <x v="19"/>
    <s v="≤120 mg/dl"/>
    <n v="1"/>
    <n v="156"/>
    <s v="No"/>
    <n v="0.1"/>
    <n v="2"/>
    <n v="1"/>
    <n v="3"/>
    <x v="1"/>
  </r>
  <r>
    <n v="47"/>
    <x v="0"/>
    <x v="3"/>
    <n v="110"/>
    <x v="11"/>
    <s v="≤120 mg/dl"/>
    <n v="0"/>
    <n v="118"/>
    <s v="Sì"/>
    <n v="1"/>
    <n v="1"/>
    <n v="1"/>
    <n v="2"/>
    <x v="1"/>
  </r>
  <r>
    <n v="52"/>
    <x v="0"/>
    <x v="3"/>
    <n v="125"/>
    <x v="22"/>
    <s v="≤120 mg/dl"/>
    <n v="1"/>
    <n v="168"/>
    <s v="No"/>
    <n v="1"/>
    <n v="2"/>
    <n v="2"/>
    <n v="3"/>
    <x v="1"/>
  </r>
  <r>
    <n v="58"/>
    <x v="0"/>
    <x v="3"/>
    <n v="146"/>
    <x v="143"/>
    <s v="≤120 mg/dl"/>
    <n v="1"/>
    <n v="105"/>
    <s v="No"/>
    <n v="2"/>
    <n v="1"/>
    <n v="1"/>
    <n v="3"/>
    <x v="1"/>
  </r>
  <r>
    <n v="57"/>
    <x v="0"/>
    <x v="2"/>
    <n v="124"/>
    <x v="61"/>
    <s v="≤120 mg/dl"/>
    <n v="1"/>
    <n v="141"/>
    <s v="No"/>
    <n v="0.3"/>
    <n v="2"/>
    <n v="0"/>
    <n v="3"/>
    <x v="1"/>
  </r>
  <r>
    <n v="58"/>
    <x v="1"/>
    <x v="2"/>
    <n v="136"/>
    <x v="144"/>
    <s v="&gt;120 mg/dl"/>
    <n v="0"/>
    <n v="152"/>
    <s v="No"/>
    <n v="0"/>
    <n v="2"/>
    <n v="2"/>
    <n v="2"/>
    <x v="1"/>
  </r>
  <r>
    <n v="61"/>
    <x v="0"/>
    <x v="3"/>
    <n v="138"/>
    <x v="145"/>
    <s v="≤120 mg/dl"/>
    <n v="0"/>
    <n v="125"/>
    <s v="Sì"/>
    <n v="3.6"/>
    <n v="1"/>
    <n v="1"/>
    <n v="2"/>
    <x v="1"/>
  </r>
  <r>
    <n v="42"/>
    <x v="0"/>
    <x v="3"/>
    <n v="136"/>
    <x v="77"/>
    <s v="≤120 mg/dl"/>
    <n v="1"/>
    <n v="125"/>
    <s v="Sì"/>
    <n v="1.8"/>
    <n v="1"/>
    <n v="0"/>
    <n v="1"/>
    <x v="1"/>
  </r>
  <r>
    <n v="52"/>
    <x v="0"/>
    <x v="3"/>
    <n v="128"/>
    <x v="2"/>
    <s v="&gt;120 mg/dl"/>
    <n v="1"/>
    <n v="156"/>
    <s v="Sì"/>
    <n v="1"/>
    <n v="1"/>
    <n v="0"/>
    <n v="0"/>
    <x v="1"/>
  </r>
  <r>
    <n v="59"/>
    <x v="0"/>
    <x v="1"/>
    <n v="126"/>
    <x v="143"/>
    <s v="&gt;120 mg/dl"/>
    <n v="1"/>
    <n v="134"/>
    <s v="No"/>
    <n v="2.2000000000000002"/>
    <n v="1"/>
    <n v="1"/>
    <n v="1"/>
    <x v="1"/>
  </r>
  <r>
    <n v="40"/>
    <x v="0"/>
    <x v="3"/>
    <n v="152"/>
    <x v="73"/>
    <s v="≤120 mg/dl"/>
    <n v="1"/>
    <n v="181"/>
    <s v="No"/>
    <n v="0"/>
    <n v="2"/>
    <n v="0"/>
    <n v="3"/>
    <x v="1"/>
  </r>
  <r>
    <n v="61"/>
    <x v="0"/>
    <x v="3"/>
    <n v="140"/>
    <x v="72"/>
    <s v="≤120 mg/dl"/>
    <n v="0"/>
    <n v="138"/>
    <s v="Sì"/>
    <n v="1.9"/>
    <n v="2"/>
    <n v="1"/>
    <n v="3"/>
    <x v="1"/>
  </r>
  <r>
    <n v="46"/>
    <x v="0"/>
    <x v="3"/>
    <n v="140"/>
    <x v="146"/>
    <s v="≤120 mg/dl"/>
    <n v="1"/>
    <n v="120"/>
    <s v="Sì"/>
    <n v="1.8"/>
    <n v="1"/>
    <n v="2"/>
    <n v="3"/>
    <x v="1"/>
  </r>
  <r>
    <n v="59"/>
    <x v="0"/>
    <x v="0"/>
    <n v="134"/>
    <x v="2"/>
    <s v="≤120 mg/dl"/>
    <n v="1"/>
    <n v="162"/>
    <s v="No"/>
    <n v="0.8"/>
    <n v="2"/>
    <n v="2"/>
    <n v="2"/>
    <x v="1"/>
  </r>
  <r>
    <n v="57"/>
    <x v="0"/>
    <x v="2"/>
    <n v="154"/>
    <x v="31"/>
    <s v="≤120 mg/dl"/>
    <n v="0"/>
    <n v="164"/>
    <s v="No"/>
    <n v="0"/>
    <n v="2"/>
    <n v="1"/>
    <n v="2"/>
    <x v="1"/>
  </r>
  <r>
    <n v="57"/>
    <x v="0"/>
    <x v="3"/>
    <n v="110"/>
    <x v="111"/>
    <s v="≤120 mg/dl"/>
    <n v="1"/>
    <n v="143"/>
    <s v="Sì"/>
    <n v="3"/>
    <n v="1"/>
    <n v="1"/>
    <n v="3"/>
    <x v="1"/>
  </r>
  <r>
    <n v="55"/>
    <x v="1"/>
    <x v="3"/>
    <n v="128"/>
    <x v="63"/>
    <s v="≤120 mg/dl"/>
    <n v="2"/>
    <n v="130"/>
    <s v="Sì"/>
    <n v="2"/>
    <n v="1"/>
    <n v="1"/>
    <n v="3"/>
    <x v="1"/>
  </r>
  <r>
    <n v="61"/>
    <x v="0"/>
    <x v="3"/>
    <n v="148"/>
    <x v="55"/>
    <s v="≤120 mg/dl"/>
    <n v="1"/>
    <n v="161"/>
    <s v="No"/>
    <n v="0"/>
    <n v="2"/>
    <n v="1"/>
    <n v="3"/>
    <x v="1"/>
  </r>
  <r>
    <n v="58"/>
    <x v="0"/>
    <x v="3"/>
    <n v="114"/>
    <x v="65"/>
    <s v="≤120 mg/dl"/>
    <n v="2"/>
    <n v="140"/>
    <s v="No"/>
    <n v="4.4000000000000004"/>
    <n v="0"/>
    <n v="3"/>
    <n v="1"/>
    <x v="1"/>
  </r>
  <r>
    <n v="58"/>
    <x v="1"/>
    <x v="3"/>
    <n v="170"/>
    <x v="114"/>
    <s v="&gt;120 mg/dl"/>
    <n v="0"/>
    <n v="146"/>
    <s v="Sì"/>
    <n v="2.8"/>
    <n v="1"/>
    <n v="2"/>
    <n v="1"/>
    <x v="1"/>
  </r>
  <r>
    <n v="67"/>
    <x v="0"/>
    <x v="1"/>
    <n v="152"/>
    <x v="22"/>
    <s v="≤120 mg/dl"/>
    <n v="0"/>
    <n v="150"/>
    <s v="No"/>
    <n v="0.8"/>
    <n v="1"/>
    <n v="0"/>
    <n v="3"/>
    <x v="1"/>
  </r>
  <r>
    <n v="44"/>
    <x v="0"/>
    <x v="3"/>
    <n v="120"/>
    <x v="147"/>
    <s v="≤120 mg/dl"/>
    <n v="1"/>
    <n v="144"/>
    <s v="Sì"/>
    <n v="2.8"/>
    <n v="0"/>
    <n v="0"/>
    <n v="1"/>
    <x v="1"/>
  </r>
  <r>
    <n v="63"/>
    <x v="0"/>
    <x v="3"/>
    <n v="140"/>
    <x v="148"/>
    <s v="≤120 mg/dl"/>
    <n v="0"/>
    <n v="144"/>
    <s v="Sì"/>
    <n v="4"/>
    <n v="2"/>
    <n v="2"/>
    <n v="3"/>
    <x v="1"/>
  </r>
  <r>
    <n v="63"/>
    <x v="1"/>
    <x v="3"/>
    <n v="124"/>
    <x v="25"/>
    <s v="≤120 mg/dl"/>
    <n v="1"/>
    <n v="136"/>
    <s v="Sì"/>
    <n v="0"/>
    <n v="1"/>
    <n v="0"/>
    <n v="2"/>
    <x v="1"/>
  </r>
  <r>
    <n v="59"/>
    <x v="0"/>
    <x v="3"/>
    <n v="164"/>
    <x v="149"/>
    <s v="&gt;120 mg/dl"/>
    <n v="0"/>
    <n v="90"/>
    <s v="No"/>
    <n v="1"/>
    <n v="1"/>
    <n v="2"/>
    <n v="1"/>
    <x v="1"/>
  </r>
  <r>
    <n v="57"/>
    <x v="1"/>
    <x v="3"/>
    <n v="140"/>
    <x v="150"/>
    <s v="≤120 mg/dl"/>
    <n v="1"/>
    <n v="123"/>
    <s v="Sì"/>
    <n v="0.2"/>
    <n v="1"/>
    <n v="0"/>
    <n v="3"/>
    <x v="1"/>
  </r>
  <r>
    <n v="45"/>
    <x v="0"/>
    <x v="0"/>
    <n v="110"/>
    <x v="37"/>
    <s v="≤120 mg/dl"/>
    <n v="1"/>
    <n v="132"/>
    <s v="No"/>
    <n v="1.2"/>
    <n v="1"/>
    <n v="0"/>
    <n v="3"/>
    <x v="1"/>
  </r>
  <r>
    <n v="68"/>
    <x v="0"/>
    <x v="3"/>
    <n v="144"/>
    <x v="88"/>
    <s v="&gt;120 mg/dl"/>
    <n v="1"/>
    <n v="141"/>
    <s v="No"/>
    <n v="3.4"/>
    <n v="1"/>
    <n v="2"/>
    <n v="3"/>
    <x v="1"/>
  </r>
  <r>
    <n v="57"/>
    <x v="0"/>
    <x v="3"/>
    <n v="130"/>
    <x v="151"/>
    <s v="≤120 mg/dl"/>
    <n v="1"/>
    <n v="115"/>
    <s v="Sì"/>
    <n v="1.2"/>
    <n v="1"/>
    <n v="1"/>
    <n v="3"/>
    <x v="1"/>
  </r>
  <r>
    <n v="57"/>
    <x v="1"/>
    <x v="2"/>
    <n v="130"/>
    <x v="3"/>
    <s v="≤120 mg/dl"/>
    <n v="0"/>
    <n v="174"/>
    <s v="No"/>
    <n v="0"/>
    <n v="1"/>
    <n v="1"/>
    <n v="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">
  <r>
    <n v="63"/>
    <x v="0"/>
    <x v="0"/>
    <x v="0"/>
    <x v="0"/>
    <x v="0"/>
    <n v="0"/>
    <n v="150"/>
    <x v="0"/>
    <x v="0"/>
    <x v="0"/>
    <x v="0"/>
    <n v="1"/>
    <x v="0"/>
  </r>
  <r>
    <n v="37"/>
    <x v="0"/>
    <x v="1"/>
    <x v="1"/>
    <x v="1"/>
    <x v="1"/>
    <n v="1"/>
    <n v="187"/>
    <x v="0"/>
    <x v="1"/>
    <x v="0"/>
    <x v="0"/>
    <n v="2"/>
    <x v="0"/>
  </r>
  <r>
    <n v="41"/>
    <x v="1"/>
    <x v="2"/>
    <x v="1"/>
    <x v="2"/>
    <x v="1"/>
    <n v="0"/>
    <n v="172"/>
    <x v="0"/>
    <x v="2"/>
    <x v="1"/>
    <x v="0"/>
    <n v="2"/>
    <x v="0"/>
  </r>
  <r>
    <n v="56"/>
    <x v="0"/>
    <x v="2"/>
    <x v="2"/>
    <x v="3"/>
    <x v="1"/>
    <n v="1"/>
    <n v="178"/>
    <x v="0"/>
    <x v="3"/>
    <x v="1"/>
    <x v="0"/>
    <n v="2"/>
    <x v="0"/>
  </r>
  <r>
    <n v="57"/>
    <x v="1"/>
    <x v="3"/>
    <x v="2"/>
    <x v="4"/>
    <x v="1"/>
    <n v="1"/>
    <n v="163"/>
    <x v="1"/>
    <x v="4"/>
    <x v="1"/>
    <x v="0"/>
    <n v="2"/>
    <x v="0"/>
  </r>
  <r>
    <n v="57"/>
    <x v="0"/>
    <x v="3"/>
    <x v="3"/>
    <x v="5"/>
    <x v="1"/>
    <n v="1"/>
    <n v="148"/>
    <x v="0"/>
    <x v="5"/>
    <x v="2"/>
    <x v="0"/>
    <n v="1"/>
    <x v="0"/>
  </r>
  <r>
    <n v="56"/>
    <x v="1"/>
    <x v="2"/>
    <x v="3"/>
    <x v="6"/>
    <x v="1"/>
    <n v="0"/>
    <n v="153"/>
    <x v="0"/>
    <x v="6"/>
    <x v="2"/>
    <x v="0"/>
    <n v="2"/>
    <x v="0"/>
  </r>
  <r>
    <n v="44"/>
    <x v="0"/>
    <x v="2"/>
    <x v="2"/>
    <x v="7"/>
    <x v="1"/>
    <n v="1"/>
    <n v="173"/>
    <x v="0"/>
    <x v="7"/>
    <x v="1"/>
    <x v="0"/>
    <n v="3"/>
    <x v="0"/>
  </r>
  <r>
    <n v="52"/>
    <x v="0"/>
    <x v="1"/>
    <x v="4"/>
    <x v="8"/>
    <x v="0"/>
    <n v="1"/>
    <n v="162"/>
    <x v="0"/>
    <x v="8"/>
    <x v="1"/>
    <x v="0"/>
    <n v="3"/>
    <x v="0"/>
  </r>
  <r>
    <n v="57"/>
    <x v="0"/>
    <x v="1"/>
    <x v="5"/>
    <x v="9"/>
    <x v="1"/>
    <n v="1"/>
    <n v="174"/>
    <x v="0"/>
    <x v="9"/>
    <x v="1"/>
    <x v="0"/>
    <n v="2"/>
    <x v="0"/>
  </r>
  <r>
    <n v="54"/>
    <x v="0"/>
    <x v="3"/>
    <x v="3"/>
    <x v="10"/>
    <x v="1"/>
    <n v="1"/>
    <n v="160"/>
    <x v="0"/>
    <x v="10"/>
    <x v="1"/>
    <x v="0"/>
    <n v="2"/>
    <x v="0"/>
  </r>
  <r>
    <n v="48"/>
    <x v="1"/>
    <x v="1"/>
    <x v="1"/>
    <x v="11"/>
    <x v="1"/>
    <n v="1"/>
    <n v="139"/>
    <x v="0"/>
    <x v="11"/>
    <x v="1"/>
    <x v="0"/>
    <n v="2"/>
    <x v="0"/>
  </r>
  <r>
    <n v="49"/>
    <x v="0"/>
    <x v="2"/>
    <x v="1"/>
    <x v="12"/>
    <x v="1"/>
    <n v="1"/>
    <n v="171"/>
    <x v="0"/>
    <x v="4"/>
    <x v="1"/>
    <x v="0"/>
    <n v="2"/>
    <x v="0"/>
  </r>
  <r>
    <n v="64"/>
    <x v="0"/>
    <x v="0"/>
    <x v="6"/>
    <x v="13"/>
    <x v="1"/>
    <n v="0"/>
    <n v="144"/>
    <x v="1"/>
    <x v="12"/>
    <x v="2"/>
    <x v="0"/>
    <n v="2"/>
    <x v="0"/>
  </r>
  <r>
    <n v="58"/>
    <x v="1"/>
    <x v="0"/>
    <x v="5"/>
    <x v="14"/>
    <x v="0"/>
    <n v="0"/>
    <n v="162"/>
    <x v="0"/>
    <x v="13"/>
    <x v="1"/>
    <x v="0"/>
    <n v="2"/>
    <x v="0"/>
  </r>
  <r>
    <n v="50"/>
    <x v="1"/>
    <x v="1"/>
    <x v="2"/>
    <x v="15"/>
    <x v="1"/>
    <n v="1"/>
    <n v="158"/>
    <x v="0"/>
    <x v="9"/>
    <x v="2"/>
    <x v="0"/>
    <n v="2"/>
    <x v="0"/>
  </r>
  <r>
    <n v="58"/>
    <x v="1"/>
    <x v="1"/>
    <x v="2"/>
    <x v="16"/>
    <x v="1"/>
    <n v="1"/>
    <n v="172"/>
    <x v="0"/>
    <x v="7"/>
    <x v="1"/>
    <x v="0"/>
    <n v="2"/>
    <x v="0"/>
  </r>
  <r>
    <n v="66"/>
    <x v="1"/>
    <x v="0"/>
    <x v="5"/>
    <x v="17"/>
    <x v="1"/>
    <n v="1"/>
    <n v="114"/>
    <x v="0"/>
    <x v="14"/>
    <x v="0"/>
    <x v="0"/>
    <n v="2"/>
    <x v="0"/>
  </r>
  <r>
    <n v="43"/>
    <x v="0"/>
    <x v="3"/>
    <x v="5"/>
    <x v="18"/>
    <x v="1"/>
    <n v="1"/>
    <n v="171"/>
    <x v="0"/>
    <x v="15"/>
    <x v="1"/>
    <x v="0"/>
    <n v="2"/>
    <x v="0"/>
  </r>
  <r>
    <n v="69"/>
    <x v="1"/>
    <x v="0"/>
    <x v="3"/>
    <x v="10"/>
    <x v="1"/>
    <n v="1"/>
    <n v="151"/>
    <x v="0"/>
    <x v="12"/>
    <x v="1"/>
    <x v="1"/>
    <n v="2"/>
    <x v="0"/>
  </r>
  <r>
    <n v="59"/>
    <x v="0"/>
    <x v="3"/>
    <x v="7"/>
    <x v="19"/>
    <x v="1"/>
    <n v="1"/>
    <n v="161"/>
    <x v="0"/>
    <x v="8"/>
    <x v="2"/>
    <x v="0"/>
    <n v="3"/>
    <x v="0"/>
  </r>
  <r>
    <n v="44"/>
    <x v="0"/>
    <x v="1"/>
    <x v="1"/>
    <x v="0"/>
    <x v="1"/>
    <n v="1"/>
    <n v="179"/>
    <x v="1"/>
    <x v="5"/>
    <x v="1"/>
    <x v="0"/>
    <n v="2"/>
    <x v="0"/>
  </r>
  <r>
    <n v="42"/>
    <x v="0"/>
    <x v="3"/>
    <x v="3"/>
    <x v="17"/>
    <x v="1"/>
    <n v="1"/>
    <n v="178"/>
    <x v="0"/>
    <x v="7"/>
    <x v="1"/>
    <x v="0"/>
    <n v="2"/>
    <x v="0"/>
  </r>
  <r>
    <n v="61"/>
    <x v="0"/>
    <x v="1"/>
    <x v="5"/>
    <x v="20"/>
    <x v="0"/>
    <n v="1"/>
    <n v="137"/>
    <x v="1"/>
    <x v="13"/>
    <x v="2"/>
    <x v="0"/>
    <n v="2"/>
    <x v="0"/>
  </r>
  <r>
    <n v="40"/>
    <x v="0"/>
    <x v="0"/>
    <x v="3"/>
    <x v="8"/>
    <x v="1"/>
    <n v="1"/>
    <n v="178"/>
    <x v="1"/>
    <x v="2"/>
    <x v="1"/>
    <x v="0"/>
    <n v="3"/>
    <x v="0"/>
  </r>
  <r>
    <n v="71"/>
    <x v="1"/>
    <x v="2"/>
    <x v="8"/>
    <x v="21"/>
    <x v="1"/>
    <n v="1"/>
    <n v="162"/>
    <x v="0"/>
    <x v="5"/>
    <x v="1"/>
    <x v="1"/>
    <n v="2"/>
    <x v="0"/>
  </r>
  <r>
    <n v="59"/>
    <x v="0"/>
    <x v="1"/>
    <x v="5"/>
    <x v="22"/>
    <x v="0"/>
    <n v="1"/>
    <n v="157"/>
    <x v="0"/>
    <x v="9"/>
    <x v="1"/>
    <x v="0"/>
    <n v="2"/>
    <x v="0"/>
  </r>
  <r>
    <n v="51"/>
    <x v="0"/>
    <x v="1"/>
    <x v="6"/>
    <x v="23"/>
    <x v="1"/>
    <n v="1"/>
    <n v="123"/>
    <x v="0"/>
    <x v="4"/>
    <x v="1"/>
    <x v="0"/>
    <n v="2"/>
    <x v="0"/>
  </r>
  <r>
    <n v="65"/>
    <x v="1"/>
    <x v="1"/>
    <x v="3"/>
    <x v="24"/>
    <x v="0"/>
    <n v="0"/>
    <n v="157"/>
    <x v="0"/>
    <x v="3"/>
    <x v="1"/>
    <x v="2"/>
    <n v="2"/>
    <x v="0"/>
  </r>
  <r>
    <n v="53"/>
    <x v="0"/>
    <x v="1"/>
    <x v="1"/>
    <x v="25"/>
    <x v="0"/>
    <n v="0"/>
    <n v="152"/>
    <x v="0"/>
    <x v="10"/>
    <x v="0"/>
    <x v="0"/>
    <n v="2"/>
    <x v="0"/>
  </r>
  <r>
    <n v="41"/>
    <x v="1"/>
    <x v="2"/>
    <x v="9"/>
    <x v="26"/>
    <x v="1"/>
    <n v="1"/>
    <n v="168"/>
    <x v="0"/>
    <x v="7"/>
    <x v="1"/>
    <x v="2"/>
    <n v="2"/>
    <x v="0"/>
  </r>
  <r>
    <n v="65"/>
    <x v="0"/>
    <x v="3"/>
    <x v="2"/>
    <x v="27"/>
    <x v="1"/>
    <n v="1"/>
    <n v="140"/>
    <x v="0"/>
    <x v="5"/>
    <x v="1"/>
    <x v="0"/>
    <n v="3"/>
    <x v="0"/>
  </r>
  <r>
    <n v="44"/>
    <x v="0"/>
    <x v="2"/>
    <x v="1"/>
    <x v="15"/>
    <x v="1"/>
    <n v="0"/>
    <n v="188"/>
    <x v="0"/>
    <x v="7"/>
    <x v="1"/>
    <x v="0"/>
    <n v="2"/>
    <x v="0"/>
  </r>
  <r>
    <n v="54"/>
    <x v="0"/>
    <x v="1"/>
    <x v="10"/>
    <x v="28"/>
    <x v="1"/>
    <n v="0"/>
    <n v="152"/>
    <x v="0"/>
    <x v="8"/>
    <x v="0"/>
    <x v="2"/>
    <n v="2"/>
    <x v="0"/>
  </r>
  <r>
    <n v="51"/>
    <x v="0"/>
    <x v="0"/>
    <x v="10"/>
    <x v="29"/>
    <x v="1"/>
    <n v="0"/>
    <n v="125"/>
    <x v="1"/>
    <x v="2"/>
    <x v="1"/>
    <x v="2"/>
    <n v="2"/>
    <x v="0"/>
  </r>
  <r>
    <n v="46"/>
    <x v="1"/>
    <x v="1"/>
    <x v="11"/>
    <x v="27"/>
    <x v="1"/>
    <n v="0"/>
    <n v="160"/>
    <x v="1"/>
    <x v="2"/>
    <x v="0"/>
    <x v="0"/>
    <n v="2"/>
    <x v="0"/>
  </r>
  <r>
    <n v="54"/>
    <x v="1"/>
    <x v="1"/>
    <x v="7"/>
    <x v="30"/>
    <x v="0"/>
    <n v="1"/>
    <n v="170"/>
    <x v="0"/>
    <x v="7"/>
    <x v="1"/>
    <x v="0"/>
    <n v="2"/>
    <x v="0"/>
  </r>
  <r>
    <n v="54"/>
    <x v="0"/>
    <x v="1"/>
    <x v="5"/>
    <x v="31"/>
    <x v="1"/>
    <n v="0"/>
    <n v="165"/>
    <x v="0"/>
    <x v="9"/>
    <x v="1"/>
    <x v="0"/>
    <n v="3"/>
    <x v="0"/>
  </r>
  <r>
    <n v="65"/>
    <x v="1"/>
    <x v="1"/>
    <x v="12"/>
    <x v="32"/>
    <x v="1"/>
    <n v="1"/>
    <n v="148"/>
    <x v="0"/>
    <x v="3"/>
    <x v="1"/>
    <x v="0"/>
    <n v="2"/>
    <x v="0"/>
  </r>
  <r>
    <n v="65"/>
    <x v="1"/>
    <x v="1"/>
    <x v="8"/>
    <x v="33"/>
    <x v="1"/>
    <n v="0"/>
    <n v="151"/>
    <x v="0"/>
    <x v="3"/>
    <x v="1"/>
    <x v="0"/>
    <n v="2"/>
    <x v="0"/>
  </r>
  <r>
    <n v="51"/>
    <x v="1"/>
    <x v="1"/>
    <x v="3"/>
    <x v="34"/>
    <x v="1"/>
    <n v="0"/>
    <n v="142"/>
    <x v="0"/>
    <x v="15"/>
    <x v="1"/>
    <x v="2"/>
    <n v="2"/>
    <x v="0"/>
  </r>
  <r>
    <n v="48"/>
    <x v="0"/>
    <x v="2"/>
    <x v="1"/>
    <x v="35"/>
    <x v="1"/>
    <n v="0"/>
    <n v="180"/>
    <x v="0"/>
    <x v="11"/>
    <x v="2"/>
    <x v="0"/>
    <n v="2"/>
    <x v="0"/>
  </r>
  <r>
    <n v="45"/>
    <x v="0"/>
    <x v="3"/>
    <x v="13"/>
    <x v="36"/>
    <x v="1"/>
    <n v="0"/>
    <n v="148"/>
    <x v="1"/>
    <x v="16"/>
    <x v="2"/>
    <x v="0"/>
    <n v="2"/>
    <x v="0"/>
  </r>
  <r>
    <n v="53"/>
    <x v="1"/>
    <x v="3"/>
    <x v="1"/>
    <x v="37"/>
    <x v="1"/>
    <n v="0"/>
    <n v="143"/>
    <x v="0"/>
    <x v="5"/>
    <x v="2"/>
    <x v="0"/>
    <n v="2"/>
    <x v="0"/>
  </r>
  <r>
    <n v="39"/>
    <x v="0"/>
    <x v="1"/>
    <x v="3"/>
    <x v="38"/>
    <x v="1"/>
    <n v="0"/>
    <n v="182"/>
    <x v="0"/>
    <x v="7"/>
    <x v="1"/>
    <x v="0"/>
    <n v="2"/>
    <x v="0"/>
  </r>
  <r>
    <n v="52"/>
    <x v="0"/>
    <x v="2"/>
    <x v="2"/>
    <x v="39"/>
    <x v="1"/>
    <n v="1"/>
    <n v="172"/>
    <x v="0"/>
    <x v="11"/>
    <x v="1"/>
    <x v="0"/>
    <n v="2"/>
    <x v="0"/>
  </r>
  <r>
    <n v="44"/>
    <x v="0"/>
    <x v="1"/>
    <x v="3"/>
    <x v="40"/>
    <x v="1"/>
    <n v="0"/>
    <n v="180"/>
    <x v="0"/>
    <x v="7"/>
    <x v="1"/>
    <x v="0"/>
    <n v="2"/>
    <x v="0"/>
  </r>
  <r>
    <n v="47"/>
    <x v="0"/>
    <x v="1"/>
    <x v="14"/>
    <x v="41"/>
    <x v="1"/>
    <n v="0"/>
    <n v="156"/>
    <x v="0"/>
    <x v="7"/>
    <x v="1"/>
    <x v="0"/>
    <n v="2"/>
    <x v="0"/>
  </r>
  <r>
    <n v="53"/>
    <x v="1"/>
    <x v="1"/>
    <x v="15"/>
    <x v="42"/>
    <x v="1"/>
    <n v="0"/>
    <n v="115"/>
    <x v="0"/>
    <x v="7"/>
    <x v="1"/>
    <x v="0"/>
    <n v="0"/>
    <x v="0"/>
  </r>
  <r>
    <n v="53"/>
    <x v="1"/>
    <x v="3"/>
    <x v="14"/>
    <x v="19"/>
    <x v="1"/>
    <n v="0"/>
    <n v="160"/>
    <x v="0"/>
    <x v="7"/>
    <x v="1"/>
    <x v="0"/>
    <n v="2"/>
    <x v="0"/>
  </r>
  <r>
    <n v="51"/>
    <x v="1"/>
    <x v="1"/>
    <x v="1"/>
    <x v="43"/>
    <x v="1"/>
    <n v="0"/>
    <n v="149"/>
    <x v="0"/>
    <x v="8"/>
    <x v="1"/>
    <x v="0"/>
    <n v="2"/>
    <x v="0"/>
  </r>
  <r>
    <n v="66"/>
    <x v="0"/>
    <x v="3"/>
    <x v="2"/>
    <x v="21"/>
    <x v="1"/>
    <n v="0"/>
    <n v="151"/>
    <x v="0"/>
    <x v="5"/>
    <x v="2"/>
    <x v="0"/>
    <n v="2"/>
    <x v="0"/>
  </r>
  <r>
    <n v="62"/>
    <x v="0"/>
    <x v="1"/>
    <x v="1"/>
    <x v="44"/>
    <x v="1"/>
    <n v="1"/>
    <n v="146"/>
    <x v="0"/>
    <x v="12"/>
    <x v="2"/>
    <x v="3"/>
    <n v="3"/>
    <x v="0"/>
  </r>
  <r>
    <n v="44"/>
    <x v="1"/>
    <x v="1"/>
    <x v="16"/>
    <x v="45"/>
    <x v="1"/>
    <n v="1"/>
    <n v="175"/>
    <x v="0"/>
    <x v="4"/>
    <x v="2"/>
    <x v="0"/>
    <n v="2"/>
    <x v="0"/>
  </r>
  <r>
    <n v="63"/>
    <x v="1"/>
    <x v="1"/>
    <x v="7"/>
    <x v="46"/>
    <x v="1"/>
    <n v="0"/>
    <n v="172"/>
    <x v="0"/>
    <x v="7"/>
    <x v="1"/>
    <x v="0"/>
    <n v="2"/>
    <x v="0"/>
  </r>
  <r>
    <n v="52"/>
    <x v="0"/>
    <x v="2"/>
    <x v="17"/>
    <x v="47"/>
    <x v="1"/>
    <n v="1"/>
    <n v="158"/>
    <x v="0"/>
    <x v="3"/>
    <x v="1"/>
    <x v="2"/>
    <n v="2"/>
    <x v="0"/>
  </r>
  <r>
    <n v="48"/>
    <x v="0"/>
    <x v="3"/>
    <x v="18"/>
    <x v="48"/>
    <x v="1"/>
    <n v="0"/>
    <n v="186"/>
    <x v="0"/>
    <x v="7"/>
    <x v="1"/>
    <x v="0"/>
    <n v="2"/>
    <x v="0"/>
  </r>
  <r>
    <n v="45"/>
    <x v="0"/>
    <x v="3"/>
    <x v="19"/>
    <x v="49"/>
    <x v="1"/>
    <n v="0"/>
    <n v="185"/>
    <x v="0"/>
    <x v="7"/>
    <x v="1"/>
    <x v="0"/>
    <n v="2"/>
    <x v="0"/>
  </r>
  <r>
    <n v="34"/>
    <x v="0"/>
    <x v="0"/>
    <x v="20"/>
    <x v="50"/>
    <x v="1"/>
    <n v="0"/>
    <n v="174"/>
    <x v="0"/>
    <x v="7"/>
    <x v="1"/>
    <x v="0"/>
    <n v="2"/>
    <x v="0"/>
  </r>
  <r>
    <n v="57"/>
    <x v="1"/>
    <x v="3"/>
    <x v="15"/>
    <x v="51"/>
    <x v="1"/>
    <n v="0"/>
    <n v="159"/>
    <x v="0"/>
    <x v="7"/>
    <x v="1"/>
    <x v="2"/>
    <n v="2"/>
    <x v="0"/>
  </r>
  <r>
    <n v="71"/>
    <x v="1"/>
    <x v="1"/>
    <x v="6"/>
    <x v="52"/>
    <x v="0"/>
    <n v="0"/>
    <n v="130"/>
    <x v="0"/>
    <x v="7"/>
    <x v="1"/>
    <x v="2"/>
    <n v="2"/>
    <x v="0"/>
  </r>
  <r>
    <n v="54"/>
    <x v="0"/>
    <x v="2"/>
    <x v="16"/>
    <x v="53"/>
    <x v="1"/>
    <n v="1"/>
    <n v="156"/>
    <x v="0"/>
    <x v="7"/>
    <x v="1"/>
    <x v="0"/>
    <n v="3"/>
    <x v="0"/>
  </r>
  <r>
    <n v="52"/>
    <x v="0"/>
    <x v="0"/>
    <x v="20"/>
    <x v="54"/>
    <x v="1"/>
    <n v="0"/>
    <n v="190"/>
    <x v="0"/>
    <x v="7"/>
    <x v="2"/>
    <x v="0"/>
    <n v="1"/>
    <x v="0"/>
  </r>
  <r>
    <n v="41"/>
    <x v="0"/>
    <x v="2"/>
    <x v="7"/>
    <x v="55"/>
    <x v="1"/>
    <n v="1"/>
    <n v="132"/>
    <x v="0"/>
    <x v="7"/>
    <x v="2"/>
    <x v="0"/>
    <n v="1"/>
    <x v="0"/>
  </r>
  <r>
    <n v="58"/>
    <x v="0"/>
    <x v="1"/>
    <x v="3"/>
    <x v="13"/>
    <x v="0"/>
    <n v="0"/>
    <n v="165"/>
    <x v="0"/>
    <x v="7"/>
    <x v="1"/>
    <x v="0"/>
    <n v="2"/>
    <x v="0"/>
  </r>
  <r>
    <n v="35"/>
    <x v="1"/>
    <x v="3"/>
    <x v="14"/>
    <x v="56"/>
    <x v="1"/>
    <n v="1"/>
    <n v="182"/>
    <x v="0"/>
    <x v="2"/>
    <x v="1"/>
    <x v="0"/>
    <n v="2"/>
    <x v="0"/>
  </r>
  <r>
    <n v="51"/>
    <x v="0"/>
    <x v="1"/>
    <x v="21"/>
    <x v="48"/>
    <x v="1"/>
    <n v="1"/>
    <n v="143"/>
    <x v="1"/>
    <x v="10"/>
    <x v="2"/>
    <x v="0"/>
    <n v="2"/>
    <x v="0"/>
  </r>
  <r>
    <n v="45"/>
    <x v="1"/>
    <x v="2"/>
    <x v="1"/>
    <x v="19"/>
    <x v="1"/>
    <n v="0"/>
    <n v="175"/>
    <x v="0"/>
    <x v="4"/>
    <x v="2"/>
    <x v="0"/>
    <n v="2"/>
    <x v="0"/>
  </r>
  <r>
    <n v="44"/>
    <x v="0"/>
    <x v="2"/>
    <x v="2"/>
    <x v="57"/>
    <x v="1"/>
    <n v="1"/>
    <n v="170"/>
    <x v="0"/>
    <x v="7"/>
    <x v="1"/>
    <x v="0"/>
    <n v="2"/>
    <x v="0"/>
  </r>
  <r>
    <n v="62"/>
    <x v="1"/>
    <x v="3"/>
    <x v="22"/>
    <x v="58"/>
    <x v="1"/>
    <n v="1"/>
    <n v="163"/>
    <x v="0"/>
    <x v="7"/>
    <x v="1"/>
    <x v="0"/>
    <n v="2"/>
    <x v="0"/>
  </r>
  <r>
    <n v="54"/>
    <x v="0"/>
    <x v="1"/>
    <x v="2"/>
    <x v="59"/>
    <x v="1"/>
    <n v="0"/>
    <n v="147"/>
    <x v="0"/>
    <x v="5"/>
    <x v="2"/>
    <x v="0"/>
    <n v="3"/>
    <x v="0"/>
  </r>
  <r>
    <n v="51"/>
    <x v="0"/>
    <x v="1"/>
    <x v="23"/>
    <x v="60"/>
    <x v="1"/>
    <n v="1"/>
    <n v="154"/>
    <x v="1"/>
    <x v="7"/>
    <x v="1"/>
    <x v="2"/>
    <n v="3"/>
    <x v="0"/>
  </r>
  <r>
    <n v="29"/>
    <x v="0"/>
    <x v="2"/>
    <x v="1"/>
    <x v="2"/>
    <x v="1"/>
    <n v="0"/>
    <n v="202"/>
    <x v="0"/>
    <x v="7"/>
    <x v="1"/>
    <x v="0"/>
    <n v="2"/>
    <x v="0"/>
  </r>
  <r>
    <n v="51"/>
    <x v="0"/>
    <x v="3"/>
    <x v="3"/>
    <x v="61"/>
    <x v="1"/>
    <n v="0"/>
    <n v="186"/>
    <x v="1"/>
    <x v="7"/>
    <x v="1"/>
    <x v="0"/>
    <n v="2"/>
    <x v="0"/>
  </r>
  <r>
    <n v="43"/>
    <x v="1"/>
    <x v="1"/>
    <x v="18"/>
    <x v="29"/>
    <x v="1"/>
    <n v="1"/>
    <n v="165"/>
    <x v="0"/>
    <x v="11"/>
    <x v="2"/>
    <x v="0"/>
    <n v="2"/>
    <x v="0"/>
  </r>
  <r>
    <n v="55"/>
    <x v="1"/>
    <x v="2"/>
    <x v="7"/>
    <x v="1"/>
    <x v="1"/>
    <n v="0"/>
    <n v="161"/>
    <x v="0"/>
    <x v="2"/>
    <x v="2"/>
    <x v="0"/>
    <n v="2"/>
    <x v="0"/>
  </r>
  <r>
    <n v="51"/>
    <x v="0"/>
    <x v="1"/>
    <x v="10"/>
    <x v="35"/>
    <x v="0"/>
    <n v="0"/>
    <n v="166"/>
    <x v="0"/>
    <x v="17"/>
    <x v="2"/>
    <x v="0"/>
    <n v="2"/>
    <x v="0"/>
  </r>
  <r>
    <n v="59"/>
    <x v="0"/>
    <x v="2"/>
    <x v="3"/>
    <x v="62"/>
    <x v="1"/>
    <n v="1"/>
    <n v="164"/>
    <x v="1"/>
    <x v="7"/>
    <x v="1"/>
    <x v="0"/>
    <n v="2"/>
    <x v="0"/>
  </r>
  <r>
    <n v="52"/>
    <x v="0"/>
    <x v="2"/>
    <x v="15"/>
    <x v="63"/>
    <x v="0"/>
    <n v="1"/>
    <n v="184"/>
    <x v="0"/>
    <x v="7"/>
    <x v="1"/>
    <x v="0"/>
    <n v="2"/>
    <x v="0"/>
  </r>
  <r>
    <n v="58"/>
    <x v="0"/>
    <x v="1"/>
    <x v="9"/>
    <x v="64"/>
    <x v="1"/>
    <n v="0"/>
    <n v="154"/>
    <x v="1"/>
    <x v="4"/>
    <x v="2"/>
    <x v="0"/>
    <n v="3"/>
    <x v="0"/>
  </r>
  <r>
    <n v="41"/>
    <x v="0"/>
    <x v="1"/>
    <x v="24"/>
    <x v="1"/>
    <x v="1"/>
    <n v="1"/>
    <n v="179"/>
    <x v="0"/>
    <x v="7"/>
    <x v="1"/>
    <x v="0"/>
    <n v="2"/>
    <x v="0"/>
  </r>
  <r>
    <n v="45"/>
    <x v="0"/>
    <x v="2"/>
    <x v="15"/>
    <x v="34"/>
    <x v="1"/>
    <n v="0"/>
    <n v="170"/>
    <x v="0"/>
    <x v="7"/>
    <x v="1"/>
    <x v="0"/>
    <n v="2"/>
    <x v="0"/>
  </r>
  <r>
    <n v="60"/>
    <x v="1"/>
    <x v="1"/>
    <x v="25"/>
    <x v="65"/>
    <x v="1"/>
    <n v="1"/>
    <n v="160"/>
    <x v="0"/>
    <x v="7"/>
    <x v="1"/>
    <x v="2"/>
    <n v="2"/>
    <x v="0"/>
  </r>
  <r>
    <n v="52"/>
    <x v="0"/>
    <x v="0"/>
    <x v="26"/>
    <x v="66"/>
    <x v="0"/>
    <n v="1"/>
    <n v="178"/>
    <x v="0"/>
    <x v="10"/>
    <x v="2"/>
    <x v="0"/>
    <n v="3"/>
    <x v="0"/>
  </r>
  <r>
    <n v="42"/>
    <x v="1"/>
    <x v="3"/>
    <x v="25"/>
    <x v="52"/>
    <x v="1"/>
    <n v="0"/>
    <n v="122"/>
    <x v="0"/>
    <x v="4"/>
    <x v="2"/>
    <x v="0"/>
    <n v="2"/>
    <x v="0"/>
  </r>
  <r>
    <n v="67"/>
    <x v="1"/>
    <x v="1"/>
    <x v="19"/>
    <x v="67"/>
    <x v="1"/>
    <n v="0"/>
    <n v="160"/>
    <x v="0"/>
    <x v="9"/>
    <x v="2"/>
    <x v="0"/>
    <n v="3"/>
    <x v="0"/>
  </r>
  <r>
    <n v="68"/>
    <x v="0"/>
    <x v="1"/>
    <x v="20"/>
    <x v="68"/>
    <x v="1"/>
    <n v="1"/>
    <n v="151"/>
    <x v="0"/>
    <x v="13"/>
    <x v="1"/>
    <x v="2"/>
    <n v="3"/>
    <x v="0"/>
  </r>
  <r>
    <n v="46"/>
    <x v="0"/>
    <x v="2"/>
    <x v="27"/>
    <x v="25"/>
    <x v="0"/>
    <n v="1"/>
    <n v="156"/>
    <x v="0"/>
    <x v="7"/>
    <x v="1"/>
    <x v="0"/>
    <n v="3"/>
    <x v="0"/>
  </r>
  <r>
    <n v="54"/>
    <x v="1"/>
    <x v="1"/>
    <x v="6"/>
    <x v="69"/>
    <x v="1"/>
    <n v="1"/>
    <n v="158"/>
    <x v="0"/>
    <x v="9"/>
    <x v="2"/>
    <x v="0"/>
    <n v="2"/>
    <x v="0"/>
  </r>
  <r>
    <n v="58"/>
    <x v="1"/>
    <x v="3"/>
    <x v="21"/>
    <x v="70"/>
    <x v="1"/>
    <n v="0"/>
    <n v="122"/>
    <x v="0"/>
    <x v="13"/>
    <x v="2"/>
    <x v="0"/>
    <n v="2"/>
    <x v="0"/>
  </r>
  <r>
    <n v="48"/>
    <x v="0"/>
    <x v="1"/>
    <x v="22"/>
    <x v="71"/>
    <x v="0"/>
    <n v="1"/>
    <n v="175"/>
    <x v="0"/>
    <x v="7"/>
    <x v="1"/>
    <x v="1"/>
    <n v="2"/>
    <x v="0"/>
  </r>
  <r>
    <n v="57"/>
    <x v="0"/>
    <x v="3"/>
    <x v="28"/>
    <x v="72"/>
    <x v="1"/>
    <n v="1"/>
    <n v="168"/>
    <x v="1"/>
    <x v="7"/>
    <x v="1"/>
    <x v="0"/>
    <n v="3"/>
    <x v="0"/>
  </r>
  <r>
    <n v="52"/>
    <x v="0"/>
    <x v="1"/>
    <x v="14"/>
    <x v="73"/>
    <x v="1"/>
    <n v="1"/>
    <n v="169"/>
    <x v="0"/>
    <x v="7"/>
    <x v="1"/>
    <x v="4"/>
    <n v="2"/>
    <x v="0"/>
  </r>
  <r>
    <n v="54"/>
    <x v="1"/>
    <x v="2"/>
    <x v="28"/>
    <x v="74"/>
    <x v="0"/>
    <n v="0"/>
    <n v="159"/>
    <x v="1"/>
    <x v="7"/>
    <x v="1"/>
    <x v="2"/>
    <n v="2"/>
    <x v="0"/>
  </r>
  <r>
    <n v="45"/>
    <x v="1"/>
    <x v="2"/>
    <x v="24"/>
    <x v="75"/>
    <x v="1"/>
    <n v="1"/>
    <n v="138"/>
    <x v="0"/>
    <x v="7"/>
    <x v="2"/>
    <x v="0"/>
    <n v="2"/>
    <x v="0"/>
  </r>
  <r>
    <n v="53"/>
    <x v="0"/>
    <x v="3"/>
    <x v="11"/>
    <x v="17"/>
    <x v="1"/>
    <n v="0"/>
    <n v="111"/>
    <x v="1"/>
    <x v="7"/>
    <x v="1"/>
    <x v="0"/>
    <n v="3"/>
    <x v="0"/>
  </r>
  <r>
    <n v="62"/>
    <x v="1"/>
    <x v="3"/>
    <x v="3"/>
    <x v="76"/>
    <x v="1"/>
    <n v="0"/>
    <n v="157"/>
    <x v="0"/>
    <x v="10"/>
    <x v="2"/>
    <x v="0"/>
    <n v="2"/>
    <x v="0"/>
  </r>
  <r>
    <n v="52"/>
    <x v="0"/>
    <x v="3"/>
    <x v="16"/>
    <x v="0"/>
    <x v="0"/>
    <n v="1"/>
    <n v="147"/>
    <x v="0"/>
    <x v="18"/>
    <x v="1"/>
    <x v="3"/>
    <n v="3"/>
    <x v="0"/>
  </r>
  <r>
    <n v="43"/>
    <x v="0"/>
    <x v="1"/>
    <x v="1"/>
    <x v="77"/>
    <x v="1"/>
    <n v="1"/>
    <n v="162"/>
    <x v="0"/>
    <x v="19"/>
    <x v="1"/>
    <x v="2"/>
    <n v="2"/>
    <x v="0"/>
  </r>
  <r>
    <n v="53"/>
    <x v="0"/>
    <x v="1"/>
    <x v="1"/>
    <x v="78"/>
    <x v="0"/>
    <n v="0"/>
    <n v="173"/>
    <x v="0"/>
    <x v="7"/>
    <x v="1"/>
    <x v="3"/>
    <n v="2"/>
    <x v="0"/>
  </r>
  <r>
    <n v="42"/>
    <x v="0"/>
    <x v="0"/>
    <x v="29"/>
    <x v="79"/>
    <x v="1"/>
    <n v="0"/>
    <n v="178"/>
    <x v="0"/>
    <x v="3"/>
    <x v="1"/>
    <x v="1"/>
    <n v="2"/>
    <x v="0"/>
  </r>
  <r>
    <n v="59"/>
    <x v="0"/>
    <x v="0"/>
    <x v="30"/>
    <x v="80"/>
    <x v="1"/>
    <n v="0"/>
    <n v="145"/>
    <x v="0"/>
    <x v="20"/>
    <x v="0"/>
    <x v="0"/>
    <n v="3"/>
    <x v="0"/>
  </r>
  <r>
    <n v="63"/>
    <x v="1"/>
    <x v="2"/>
    <x v="3"/>
    <x v="81"/>
    <x v="1"/>
    <n v="1"/>
    <n v="179"/>
    <x v="0"/>
    <x v="7"/>
    <x v="1"/>
    <x v="1"/>
    <n v="2"/>
    <x v="0"/>
  </r>
  <r>
    <n v="42"/>
    <x v="0"/>
    <x v="1"/>
    <x v="2"/>
    <x v="64"/>
    <x v="0"/>
    <n v="1"/>
    <n v="194"/>
    <x v="0"/>
    <x v="3"/>
    <x v="0"/>
    <x v="0"/>
    <n v="3"/>
    <x v="0"/>
  </r>
  <r>
    <n v="50"/>
    <x v="0"/>
    <x v="1"/>
    <x v="31"/>
    <x v="82"/>
    <x v="1"/>
    <n v="1"/>
    <n v="163"/>
    <x v="0"/>
    <x v="7"/>
    <x v="1"/>
    <x v="0"/>
    <n v="2"/>
    <x v="0"/>
  </r>
  <r>
    <n v="68"/>
    <x v="1"/>
    <x v="1"/>
    <x v="2"/>
    <x v="13"/>
    <x v="1"/>
    <n v="0"/>
    <n v="115"/>
    <x v="0"/>
    <x v="15"/>
    <x v="2"/>
    <x v="0"/>
    <n v="2"/>
    <x v="0"/>
  </r>
  <r>
    <n v="69"/>
    <x v="0"/>
    <x v="0"/>
    <x v="8"/>
    <x v="19"/>
    <x v="0"/>
    <n v="0"/>
    <n v="131"/>
    <x v="0"/>
    <x v="18"/>
    <x v="2"/>
    <x v="2"/>
    <n v="2"/>
    <x v="0"/>
  </r>
  <r>
    <n v="45"/>
    <x v="1"/>
    <x v="3"/>
    <x v="14"/>
    <x v="3"/>
    <x v="1"/>
    <n v="0"/>
    <n v="152"/>
    <x v="1"/>
    <x v="11"/>
    <x v="2"/>
    <x v="0"/>
    <n v="2"/>
    <x v="0"/>
  </r>
  <r>
    <n v="50"/>
    <x v="1"/>
    <x v="2"/>
    <x v="2"/>
    <x v="79"/>
    <x v="1"/>
    <n v="1"/>
    <n v="162"/>
    <x v="0"/>
    <x v="21"/>
    <x v="1"/>
    <x v="0"/>
    <n v="2"/>
    <x v="0"/>
  </r>
  <r>
    <n v="50"/>
    <x v="1"/>
    <x v="3"/>
    <x v="6"/>
    <x v="83"/>
    <x v="1"/>
    <n v="0"/>
    <n v="159"/>
    <x v="0"/>
    <x v="7"/>
    <x v="1"/>
    <x v="0"/>
    <n v="2"/>
    <x v="0"/>
  </r>
  <r>
    <n v="64"/>
    <x v="1"/>
    <x v="3"/>
    <x v="32"/>
    <x v="39"/>
    <x v="1"/>
    <n v="1"/>
    <n v="154"/>
    <x v="1"/>
    <x v="7"/>
    <x v="1"/>
    <x v="0"/>
    <n v="2"/>
    <x v="0"/>
  </r>
  <r>
    <n v="57"/>
    <x v="0"/>
    <x v="1"/>
    <x v="5"/>
    <x v="84"/>
    <x v="0"/>
    <n v="1"/>
    <n v="173"/>
    <x v="0"/>
    <x v="11"/>
    <x v="1"/>
    <x v="2"/>
    <n v="3"/>
    <x v="0"/>
  </r>
  <r>
    <n v="64"/>
    <x v="1"/>
    <x v="1"/>
    <x v="3"/>
    <x v="85"/>
    <x v="1"/>
    <n v="1"/>
    <n v="133"/>
    <x v="0"/>
    <x v="11"/>
    <x v="1"/>
    <x v="0"/>
    <n v="3"/>
    <x v="0"/>
  </r>
  <r>
    <n v="43"/>
    <x v="0"/>
    <x v="3"/>
    <x v="6"/>
    <x v="13"/>
    <x v="1"/>
    <n v="1"/>
    <n v="161"/>
    <x v="0"/>
    <x v="7"/>
    <x v="1"/>
    <x v="0"/>
    <n v="3"/>
    <x v="0"/>
  </r>
  <r>
    <n v="55"/>
    <x v="0"/>
    <x v="2"/>
    <x v="1"/>
    <x v="86"/>
    <x v="1"/>
    <n v="1"/>
    <n v="155"/>
    <x v="0"/>
    <x v="7"/>
    <x v="1"/>
    <x v="0"/>
    <n v="2"/>
    <x v="0"/>
  </r>
  <r>
    <n v="37"/>
    <x v="1"/>
    <x v="1"/>
    <x v="2"/>
    <x v="87"/>
    <x v="1"/>
    <n v="1"/>
    <n v="170"/>
    <x v="0"/>
    <x v="7"/>
    <x v="1"/>
    <x v="0"/>
    <n v="2"/>
    <x v="0"/>
  </r>
  <r>
    <n v="41"/>
    <x v="0"/>
    <x v="1"/>
    <x v="1"/>
    <x v="69"/>
    <x v="1"/>
    <n v="0"/>
    <n v="168"/>
    <x v="0"/>
    <x v="22"/>
    <x v="2"/>
    <x v="0"/>
    <n v="2"/>
    <x v="0"/>
  </r>
  <r>
    <n v="56"/>
    <x v="0"/>
    <x v="0"/>
    <x v="2"/>
    <x v="88"/>
    <x v="1"/>
    <n v="0"/>
    <n v="162"/>
    <x v="0"/>
    <x v="19"/>
    <x v="2"/>
    <x v="0"/>
    <n v="3"/>
    <x v="0"/>
  </r>
  <r>
    <n v="46"/>
    <x v="1"/>
    <x v="2"/>
    <x v="9"/>
    <x v="2"/>
    <x v="1"/>
    <n v="1"/>
    <n v="172"/>
    <x v="0"/>
    <x v="7"/>
    <x v="1"/>
    <x v="0"/>
    <n v="2"/>
    <x v="0"/>
  </r>
  <r>
    <n v="46"/>
    <x v="1"/>
    <x v="3"/>
    <x v="14"/>
    <x v="20"/>
    <x v="1"/>
    <n v="0"/>
    <n v="152"/>
    <x v="1"/>
    <x v="7"/>
    <x v="2"/>
    <x v="0"/>
    <n v="2"/>
    <x v="0"/>
  </r>
  <r>
    <n v="64"/>
    <x v="1"/>
    <x v="3"/>
    <x v="1"/>
    <x v="51"/>
    <x v="1"/>
    <n v="1"/>
    <n v="122"/>
    <x v="0"/>
    <x v="22"/>
    <x v="2"/>
    <x v="1"/>
    <n v="2"/>
    <x v="0"/>
  </r>
  <r>
    <n v="59"/>
    <x v="0"/>
    <x v="3"/>
    <x v="14"/>
    <x v="89"/>
    <x v="1"/>
    <n v="0"/>
    <n v="182"/>
    <x v="0"/>
    <x v="7"/>
    <x v="1"/>
    <x v="0"/>
    <n v="2"/>
    <x v="0"/>
  </r>
  <r>
    <n v="41"/>
    <x v="1"/>
    <x v="1"/>
    <x v="24"/>
    <x v="90"/>
    <x v="1"/>
    <n v="0"/>
    <n v="172"/>
    <x v="1"/>
    <x v="7"/>
    <x v="1"/>
    <x v="0"/>
    <n v="2"/>
    <x v="0"/>
  </r>
  <r>
    <n v="54"/>
    <x v="1"/>
    <x v="1"/>
    <x v="16"/>
    <x v="91"/>
    <x v="1"/>
    <n v="0"/>
    <n v="167"/>
    <x v="0"/>
    <x v="7"/>
    <x v="1"/>
    <x v="0"/>
    <n v="2"/>
    <x v="0"/>
  </r>
  <r>
    <n v="39"/>
    <x v="1"/>
    <x v="1"/>
    <x v="23"/>
    <x v="8"/>
    <x v="1"/>
    <n v="1"/>
    <n v="179"/>
    <x v="0"/>
    <x v="7"/>
    <x v="1"/>
    <x v="0"/>
    <n v="2"/>
    <x v="0"/>
  </r>
  <r>
    <n v="34"/>
    <x v="1"/>
    <x v="2"/>
    <x v="20"/>
    <x v="92"/>
    <x v="1"/>
    <n v="1"/>
    <n v="192"/>
    <x v="0"/>
    <x v="23"/>
    <x v="1"/>
    <x v="0"/>
    <n v="2"/>
    <x v="0"/>
  </r>
  <r>
    <n v="47"/>
    <x v="0"/>
    <x v="3"/>
    <x v="24"/>
    <x v="2"/>
    <x v="1"/>
    <n v="1"/>
    <n v="143"/>
    <x v="0"/>
    <x v="18"/>
    <x v="1"/>
    <x v="0"/>
    <n v="2"/>
    <x v="0"/>
  </r>
  <r>
    <n v="67"/>
    <x v="1"/>
    <x v="1"/>
    <x v="26"/>
    <x v="68"/>
    <x v="1"/>
    <n v="1"/>
    <n v="172"/>
    <x v="0"/>
    <x v="7"/>
    <x v="1"/>
    <x v="2"/>
    <n v="2"/>
    <x v="0"/>
  </r>
  <r>
    <n v="52"/>
    <x v="1"/>
    <x v="1"/>
    <x v="33"/>
    <x v="82"/>
    <x v="1"/>
    <n v="0"/>
    <n v="169"/>
    <x v="0"/>
    <x v="18"/>
    <x v="2"/>
    <x v="0"/>
    <n v="2"/>
    <x v="0"/>
  </r>
  <r>
    <n v="74"/>
    <x v="1"/>
    <x v="2"/>
    <x v="2"/>
    <x v="32"/>
    <x v="1"/>
    <n v="0"/>
    <n v="121"/>
    <x v="1"/>
    <x v="11"/>
    <x v="1"/>
    <x v="2"/>
    <n v="2"/>
    <x v="0"/>
  </r>
  <r>
    <n v="54"/>
    <x v="1"/>
    <x v="1"/>
    <x v="8"/>
    <x v="47"/>
    <x v="1"/>
    <n v="1"/>
    <n v="163"/>
    <x v="0"/>
    <x v="7"/>
    <x v="1"/>
    <x v="2"/>
    <n v="2"/>
    <x v="0"/>
  </r>
  <r>
    <n v="49"/>
    <x v="1"/>
    <x v="2"/>
    <x v="17"/>
    <x v="89"/>
    <x v="1"/>
    <n v="1"/>
    <n v="162"/>
    <x v="0"/>
    <x v="7"/>
    <x v="2"/>
    <x v="0"/>
    <n v="2"/>
    <x v="0"/>
  </r>
  <r>
    <n v="42"/>
    <x v="0"/>
    <x v="2"/>
    <x v="2"/>
    <x v="93"/>
    <x v="1"/>
    <n v="1"/>
    <n v="162"/>
    <x v="0"/>
    <x v="7"/>
    <x v="1"/>
    <x v="0"/>
    <n v="2"/>
    <x v="0"/>
  </r>
  <r>
    <n v="41"/>
    <x v="0"/>
    <x v="2"/>
    <x v="6"/>
    <x v="40"/>
    <x v="1"/>
    <n v="1"/>
    <n v="153"/>
    <x v="0"/>
    <x v="7"/>
    <x v="1"/>
    <x v="0"/>
    <n v="2"/>
    <x v="0"/>
  </r>
  <r>
    <n v="41"/>
    <x v="1"/>
    <x v="2"/>
    <x v="34"/>
    <x v="94"/>
    <x v="1"/>
    <n v="1"/>
    <n v="163"/>
    <x v="0"/>
    <x v="7"/>
    <x v="1"/>
    <x v="0"/>
    <n v="2"/>
    <x v="0"/>
  </r>
  <r>
    <n v="49"/>
    <x v="1"/>
    <x v="3"/>
    <x v="1"/>
    <x v="32"/>
    <x v="1"/>
    <n v="1"/>
    <n v="163"/>
    <x v="0"/>
    <x v="7"/>
    <x v="1"/>
    <x v="0"/>
    <n v="2"/>
    <x v="0"/>
  </r>
  <r>
    <n v="60"/>
    <x v="1"/>
    <x v="1"/>
    <x v="2"/>
    <x v="95"/>
    <x v="0"/>
    <n v="1"/>
    <n v="96"/>
    <x v="0"/>
    <x v="7"/>
    <x v="1"/>
    <x v="0"/>
    <n v="2"/>
    <x v="0"/>
  </r>
  <r>
    <n v="62"/>
    <x v="0"/>
    <x v="2"/>
    <x v="15"/>
    <x v="36"/>
    <x v="0"/>
    <n v="0"/>
    <n v="140"/>
    <x v="0"/>
    <x v="7"/>
    <x v="1"/>
    <x v="0"/>
    <n v="2"/>
    <x v="0"/>
  </r>
  <r>
    <n v="57"/>
    <x v="0"/>
    <x v="3"/>
    <x v="6"/>
    <x v="47"/>
    <x v="1"/>
    <n v="1"/>
    <n v="126"/>
    <x v="1"/>
    <x v="15"/>
    <x v="2"/>
    <x v="0"/>
    <n v="1"/>
    <x v="0"/>
  </r>
  <r>
    <n v="64"/>
    <x v="0"/>
    <x v="3"/>
    <x v="15"/>
    <x v="7"/>
    <x v="1"/>
    <n v="1"/>
    <n v="105"/>
    <x v="1"/>
    <x v="11"/>
    <x v="2"/>
    <x v="2"/>
    <n v="3"/>
    <x v="0"/>
  </r>
  <r>
    <n v="51"/>
    <x v="1"/>
    <x v="1"/>
    <x v="2"/>
    <x v="93"/>
    <x v="1"/>
    <n v="0"/>
    <n v="157"/>
    <x v="0"/>
    <x v="4"/>
    <x v="1"/>
    <x v="0"/>
    <n v="2"/>
    <x v="0"/>
  </r>
  <r>
    <n v="43"/>
    <x v="0"/>
    <x v="3"/>
    <x v="19"/>
    <x v="51"/>
    <x v="1"/>
    <n v="1"/>
    <n v="181"/>
    <x v="0"/>
    <x v="10"/>
    <x v="2"/>
    <x v="0"/>
    <n v="2"/>
    <x v="0"/>
  </r>
  <r>
    <n v="42"/>
    <x v="1"/>
    <x v="1"/>
    <x v="2"/>
    <x v="58"/>
    <x v="1"/>
    <n v="1"/>
    <n v="173"/>
    <x v="0"/>
    <x v="7"/>
    <x v="2"/>
    <x v="0"/>
    <n v="2"/>
    <x v="0"/>
  </r>
  <r>
    <n v="67"/>
    <x v="1"/>
    <x v="3"/>
    <x v="35"/>
    <x v="73"/>
    <x v="1"/>
    <n v="1"/>
    <n v="142"/>
    <x v="0"/>
    <x v="24"/>
    <x v="1"/>
    <x v="1"/>
    <n v="2"/>
    <x v="0"/>
  </r>
  <r>
    <n v="76"/>
    <x v="1"/>
    <x v="1"/>
    <x v="3"/>
    <x v="25"/>
    <x v="1"/>
    <n v="2"/>
    <n v="116"/>
    <x v="0"/>
    <x v="21"/>
    <x v="2"/>
    <x v="0"/>
    <n v="2"/>
    <x v="0"/>
  </r>
  <r>
    <n v="70"/>
    <x v="0"/>
    <x v="2"/>
    <x v="36"/>
    <x v="35"/>
    <x v="1"/>
    <n v="0"/>
    <n v="143"/>
    <x v="0"/>
    <x v="7"/>
    <x v="1"/>
    <x v="0"/>
    <n v="2"/>
    <x v="0"/>
  </r>
  <r>
    <n v="44"/>
    <x v="1"/>
    <x v="1"/>
    <x v="20"/>
    <x v="96"/>
    <x v="1"/>
    <n v="1"/>
    <n v="149"/>
    <x v="0"/>
    <x v="24"/>
    <x v="2"/>
    <x v="2"/>
    <n v="2"/>
    <x v="0"/>
  </r>
  <r>
    <n v="60"/>
    <x v="1"/>
    <x v="0"/>
    <x v="5"/>
    <x v="64"/>
    <x v="1"/>
    <n v="1"/>
    <n v="171"/>
    <x v="0"/>
    <x v="25"/>
    <x v="1"/>
    <x v="0"/>
    <n v="2"/>
    <x v="0"/>
  </r>
  <r>
    <n v="44"/>
    <x v="0"/>
    <x v="1"/>
    <x v="2"/>
    <x v="17"/>
    <x v="1"/>
    <n v="1"/>
    <n v="169"/>
    <x v="0"/>
    <x v="7"/>
    <x v="1"/>
    <x v="0"/>
    <n v="2"/>
    <x v="0"/>
  </r>
  <r>
    <n v="42"/>
    <x v="0"/>
    <x v="1"/>
    <x v="1"/>
    <x v="97"/>
    <x v="1"/>
    <n v="1"/>
    <n v="150"/>
    <x v="0"/>
    <x v="7"/>
    <x v="1"/>
    <x v="0"/>
    <n v="2"/>
    <x v="0"/>
  </r>
  <r>
    <n v="66"/>
    <x v="0"/>
    <x v="3"/>
    <x v="8"/>
    <x v="98"/>
    <x v="1"/>
    <n v="0"/>
    <n v="138"/>
    <x v="0"/>
    <x v="0"/>
    <x v="1"/>
    <x v="0"/>
    <n v="1"/>
    <x v="0"/>
  </r>
  <r>
    <n v="71"/>
    <x v="1"/>
    <x v="3"/>
    <x v="24"/>
    <x v="99"/>
    <x v="1"/>
    <n v="1"/>
    <n v="125"/>
    <x v="0"/>
    <x v="9"/>
    <x v="2"/>
    <x v="0"/>
    <n v="2"/>
    <x v="0"/>
  </r>
  <r>
    <n v="64"/>
    <x v="0"/>
    <x v="0"/>
    <x v="37"/>
    <x v="60"/>
    <x v="1"/>
    <n v="0"/>
    <n v="155"/>
    <x v="0"/>
    <x v="4"/>
    <x v="2"/>
    <x v="0"/>
    <n v="3"/>
    <x v="0"/>
  </r>
  <r>
    <n v="66"/>
    <x v="1"/>
    <x v="1"/>
    <x v="38"/>
    <x v="100"/>
    <x v="1"/>
    <n v="0"/>
    <n v="152"/>
    <x v="0"/>
    <x v="7"/>
    <x v="2"/>
    <x v="2"/>
    <n v="2"/>
    <x v="0"/>
  </r>
  <r>
    <n v="39"/>
    <x v="1"/>
    <x v="1"/>
    <x v="14"/>
    <x v="57"/>
    <x v="1"/>
    <n v="1"/>
    <n v="152"/>
    <x v="0"/>
    <x v="7"/>
    <x v="2"/>
    <x v="0"/>
    <n v="2"/>
    <x v="0"/>
  </r>
  <r>
    <n v="58"/>
    <x v="1"/>
    <x v="3"/>
    <x v="1"/>
    <x v="25"/>
    <x v="1"/>
    <n v="1"/>
    <n v="131"/>
    <x v="0"/>
    <x v="4"/>
    <x v="2"/>
    <x v="0"/>
    <n v="2"/>
    <x v="0"/>
  </r>
  <r>
    <n v="47"/>
    <x v="0"/>
    <x v="1"/>
    <x v="1"/>
    <x v="101"/>
    <x v="1"/>
    <n v="1"/>
    <n v="179"/>
    <x v="0"/>
    <x v="7"/>
    <x v="1"/>
    <x v="0"/>
    <n v="2"/>
    <x v="0"/>
  </r>
  <r>
    <n v="35"/>
    <x v="0"/>
    <x v="2"/>
    <x v="18"/>
    <x v="5"/>
    <x v="1"/>
    <n v="1"/>
    <n v="174"/>
    <x v="0"/>
    <x v="7"/>
    <x v="1"/>
    <x v="0"/>
    <n v="2"/>
    <x v="0"/>
  </r>
  <r>
    <n v="58"/>
    <x v="0"/>
    <x v="2"/>
    <x v="10"/>
    <x v="57"/>
    <x v="1"/>
    <n v="1"/>
    <n v="144"/>
    <x v="0"/>
    <x v="5"/>
    <x v="2"/>
    <x v="4"/>
    <n v="3"/>
    <x v="0"/>
  </r>
  <r>
    <n v="56"/>
    <x v="0"/>
    <x v="2"/>
    <x v="1"/>
    <x v="62"/>
    <x v="1"/>
    <n v="0"/>
    <n v="163"/>
    <x v="0"/>
    <x v="7"/>
    <x v="1"/>
    <x v="0"/>
    <n v="3"/>
    <x v="0"/>
  </r>
  <r>
    <n v="56"/>
    <x v="0"/>
    <x v="2"/>
    <x v="2"/>
    <x v="64"/>
    <x v="1"/>
    <n v="1"/>
    <n v="169"/>
    <x v="0"/>
    <x v="7"/>
    <x v="0"/>
    <x v="0"/>
    <n v="2"/>
    <x v="0"/>
  </r>
  <r>
    <n v="55"/>
    <x v="1"/>
    <x v="2"/>
    <x v="28"/>
    <x v="102"/>
    <x v="1"/>
    <n v="1"/>
    <n v="166"/>
    <x v="0"/>
    <x v="10"/>
    <x v="1"/>
    <x v="0"/>
    <n v="2"/>
    <x v="0"/>
  </r>
  <r>
    <n v="41"/>
    <x v="0"/>
    <x v="2"/>
    <x v="2"/>
    <x v="103"/>
    <x v="1"/>
    <n v="1"/>
    <n v="182"/>
    <x v="0"/>
    <x v="7"/>
    <x v="1"/>
    <x v="0"/>
    <n v="2"/>
    <x v="0"/>
  </r>
  <r>
    <n v="38"/>
    <x v="0"/>
    <x v="1"/>
    <x v="14"/>
    <x v="23"/>
    <x v="1"/>
    <n v="1"/>
    <n v="173"/>
    <x v="0"/>
    <x v="7"/>
    <x v="1"/>
    <x v="4"/>
    <n v="2"/>
    <x v="0"/>
  </r>
  <r>
    <n v="38"/>
    <x v="0"/>
    <x v="1"/>
    <x v="14"/>
    <x v="23"/>
    <x v="1"/>
    <n v="1"/>
    <n v="173"/>
    <x v="0"/>
    <x v="7"/>
    <x v="1"/>
    <x v="4"/>
    <n v="2"/>
    <x v="0"/>
  </r>
  <r>
    <n v="67"/>
    <x v="0"/>
    <x v="3"/>
    <x v="8"/>
    <x v="104"/>
    <x v="1"/>
    <n v="0"/>
    <n v="108"/>
    <x v="1"/>
    <x v="15"/>
    <x v="2"/>
    <x v="3"/>
    <n v="2"/>
    <x v="1"/>
  </r>
  <r>
    <n v="67"/>
    <x v="0"/>
    <x v="3"/>
    <x v="2"/>
    <x v="105"/>
    <x v="1"/>
    <n v="0"/>
    <n v="129"/>
    <x v="1"/>
    <x v="14"/>
    <x v="2"/>
    <x v="1"/>
    <n v="3"/>
    <x v="1"/>
  </r>
  <r>
    <n v="62"/>
    <x v="1"/>
    <x v="3"/>
    <x v="3"/>
    <x v="90"/>
    <x v="1"/>
    <n v="0"/>
    <n v="160"/>
    <x v="0"/>
    <x v="26"/>
    <x v="0"/>
    <x v="1"/>
    <n v="2"/>
    <x v="1"/>
  </r>
  <r>
    <n v="63"/>
    <x v="0"/>
    <x v="3"/>
    <x v="1"/>
    <x v="83"/>
    <x v="1"/>
    <n v="0"/>
    <n v="147"/>
    <x v="0"/>
    <x v="2"/>
    <x v="2"/>
    <x v="2"/>
    <n v="3"/>
    <x v="1"/>
  </r>
  <r>
    <n v="53"/>
    <x v="0"/>
    <x v="3"/>
    <x v="3"/>
    <x v="55"/>
    <x v="0"/>
    <n v="0"/>
    <n v="155"/>
    <x v="1"/>
    <x v="27"/>
    <x v="0"/>
    <x v="0"/>
    <n v="3"/>
    <x v="1"/>
  </r>
  <r>
    <n v="56"/>
    <x v="0"/>
    <x v="1"/>
    <x v="1"/>
    <x v="43"/>
    <x v="0"/>
    <n v="0"/>
    <n v="142"/>
    <x v="1"/>
    <x v="4"/>
    <x v="2"/>
    <x v="2"/>
    <n v="1"/>
    <x v="1"/>
  </r>
  <r>
    <n v="48"/>
    <x v="0"/>
    <x v="2"/>
    <x v="6"/>
    <x v="105"/>
    <x v="1"/>
    <n v="1"/>
    <n v="168"/>
    <x v="0"/>
    <x v="13"/>
    <x v="0"/>
    <x v="0"/>
    <n v="3"/>
    <x v="1"/>
  </r>
  <r>
    <n v="58"/>
    <x v="0"/>
    <x v="2"/>
    <x v="2"/>
    <x v="106"/>
    <x v="1"/>
    <n v="0"/>
    <n v="160"/>
    <x v="0"/>
    <x v="12"/>
    <x v="2"/>
    <x v="0"/>
    <n v="2"/>
    <x v="1"/>
  </r>
  <r>
    <n v="58"/>
    <x v="0"/>
    <x v="1"/>
    <x v="28"/>
    <x v="107"/>
    <x v="1"/>
    <n v="0"/>
    <n v="173"/>
    <x v="0"/>
    <x v="28"/>
    <x v="1"/>
    <x v="1"/>
    <n v="3"/>
    <x v="1"/>
  </r>
  <r>
    <n v="60"/>
    <x v="0"/>
    <x v="3"/>
    <x v="1"/>
    <x v="108"/>
    <x v="1"/>
    <n v="0"/>
    <n v="132"/>
    <x v="1"/>
    <x v="17"/>
    <x v="2"/>
    <x v="1"/>
    <n v="3"/>
    <x v="1"/>
  </r>
  <r>
    <n v="40"/>
    <x v="0"/>
    <x v="3"/>
    <x v="6"/>
    <x v="109"/>
    <x v="1"/>
    <n v="0"/>
    <n v="114"/>
    <x v="1"/>
    <x v="22"/>
    <x v="2"/>
    <x v="0"/>
    <n v="3"/>
    <x v="1"/>
  </r>
  <r>
    <n v="60"/>
    <x v="0"/>
    <x v="3"/>
    <x v="39"/>
    <x v="110"/>
    <x v="0"/>
    <n v="1"/>
    <n v="160"/>
    <x v="1"/>
    <x v="2"/>
    <x v="1"/>
    <x v="1"/>
    <n v="3"/>
    <x v="1"/>
  </r>
  <r>
    <n v="64"/>
    <x v="0"/>
    <x v="1"/>
    <x v="3"/>
    <x v="111"/>
    <x v="1"/>
    <n v="1"/>
    <n v="158"/>
    <x v="0"/>
    <x v="7"/>
    <x v="1"/>
    <x v="0"/>
    <n v="2"/>
    <x v="1"/>
  </r>
  <r>
    <n v="43"/>
    <x v="0"/>
    <x v="3"/>
    <x v="2"/>
    <x v="27"/>
    <x v="1"/>
    <n v="0"/>
    <n v="120"/>
    <x v="1"/>
    <x v="29"/>
    <x v="2"/>
    <x v="0"/>
    <n v="3"/>
    <x v="1"/>
  </r>
  <r>
    <n v="57"/>
    <x v="0"/>
    <x v="3"/>
    <x v="5"/>
    <x v="112"/>
    <x v="1"/>
    <n v="0"/>
    <n v="112"/>
    <x v="1"/>
    <x v="4"/>
    <x v="2"/>
    <x v="2"/>
    <n v="1"/>
    <x v="1"/>
  </r>
  <r>
    <n v="55"/>
    <x v="0"/>
    <x v="3"/>
    <x v="28"/>
    <x v="113"/>
    <x v="1"/>
    <n v="1"/>
    <n v="132"/>
    <x v="1"/>
    <x v="10"/>
    <x v="2"/>
    <x v="2"/>
    <n v="3"/>
    <x v="1"/>
  </r>
  <r>
    <n v="65"/>
    <x v="1"/>
    <x v="3"/>
    <x v="5"/>
    <x v="114"/>
    <x v="1"/>
    <n v="0"/>
    <n v="114"/>
    <x v="0"/>
    <x v="13"/>
    <x v="2"/>
    <x v="3"/>
    <n v="3"/>
    <x v="1"/>
  </r>
  <r>
    <n v="61"/>
    <x v="1"/>
    <x v="3"/>
    <x v="1"/>
    <x v="115"/>
    <x v="1"/>
    <n v="0"/>
    <n v="169"/>
    <x v="0"/>
    <x v="7"/>
    <x v="1"/>
    <x v="0"/>
    <n v="2"/>
    <x v="1"/>
  </r>
  <r>
    <n v="58"/>
    <x v="0"/>
    <x v="1"/>
    <x v="24"/>
    <x v="110"/>
    <x v="1"/>
    <n v="0"/>
    <n v="165"/>
    <x v="0"/>
    <x v="29"/>
    <x v="2"/>
    <x v="2"/>
    <n v="3"/>
    <x v="1"/>
  </r>
  <r>
    <n v="50"/>
    <x v="0"/>
    <x v="3"/>
    <x v="5"/>
    <x v="20"/>
    <x v="1"/>
    <n v="0"/>
    <n v="128"/>
    <x v="0"/>
    <x v="14"/>
    <x v="2"/>
    <x v="0"/>
    <n v="3"/>
    <x v="1"/>
  </r>
  <r>
    <n v="44"/>
    <x v="0"/>
    <x v="3"/>
    <x v="24"/>
    <x v="116"/>
    <x v="1"/>
    <n v="0"/>
    <n v="153"/>
    <x v="0"/>
    <x v="7"/>
    <x v="1"/>
    <x v="2"/>
    <n v="2"/>
    <x v="1"/>
  </r>
  <r>
    <n v="60"/>
    <x v="0"/>
    <x v="3"/>
    <x v="1"/>
    <x v="101"/>
    <x v="1"/>
    <n v="1"/>
    <n v="144"/>
    <x v="1"/>
    <x v="2"/>
    <x v="1"/>
    <x v="2"/>
    <n v="3"/>
    <x v="1"/>
  </r>
  <r>
    <n v="54"/>
    <x v="0"/>
    <x v="3"/>
    <x v="22"/>
    <x v="12"/>
    <x v="1"/>
    <n v="0"/>
    <n v="109"/>
    <x v="1"/>
    <x v="30"/>
    <x v="2"/>
    <x v="2"/>
    <n v="3"/>
    <x v="1"/>
  </r>
  <r>
    <n v="50"/>
    <x v="0"/>
    <x v="1"/>
    <x v="3"/>
    <x v="0"/>
    <x v="1"/>
    <n v="1"/>
    <n v="163"/>
    <x v="0"/>
    <x v="4"/>
    <x v="2"/>
    <x v="2"/>
    <n v="3"/>
    <x v="1"/>
  </r>
  <r>
    <n v="41"/>
    <x v="0"/>
    <x v="3"/>
    <x v="6"/>
    <x v="117"/>
    <x v="1"/>
    <n v="0"/>
    <n v="158"/>
    <x v="0"/>
    <x v="7"/>
    <x v="1"/>
    <x v="0"/>
    <n v="3"/>
    <x v="1"/>
  </r>
  <r>
    <n v="51"/>
    <x v="1"/>
    <x v="3"/>
    <x v="1"/>
    <x v="118"/>
    <x v="1"/>
    <n v="1"/>
    <n v="142"/>
    <x v="1"/>
    <x v="10"/>
    <x v="2"/>
    <x v="0"/>
    <n v="3"/>
    <x v="1"/>
  </r>
  <r>
    <n v="58"/>
    <x v="0"/>
    <x v="3"/>
    <x v="15"/>
    <x v="42"/>
    <x v="1"/>
    <n v="0"/>
    <n v="131"/>
    <x v="1"/>
    <x v="30"/>
    <x v="2"/>
    <x v="3"/>
    <n v="3"/>
    <x v="1"/>
  </r>
  <r>
    <n v="54"/>
    <x v="0"/>
    <x v="3"/>
    <x v="2"/>
    <x v="119"/>
    <x v="1"/>
    <n v="1"/>
    <n v="113"/>
    <x v="0"/>
    <x v="2"/>
    <x v="2"/>
    <x v="2"/>
    <n v="3"/>
    <x v="1"/>
  </r>
  <r>
    <n v="60"/>
    <x v="0"/>
    <x v="3"/>
    <x v="0"/>
    <x v="120"/>
    <x v="1"/>
    <n v="0"/>
    <n v="142"/>
    <x v="1"/>
    <x v="31"/>
    <x v="2"/>
    <x v="1"/>
    <n v="3"/>
    <x v="1"/>
  </r>
  <r>
    <n v="60"/>
    <x v="0"/>
    <x v="1"/>
    <x v="3"/>
    <x v="121"/>
    <x v="1"/>
    <n v="0"/>
    <n v="155"/>
    <x v="0"/>
    <x v="16"/>
    <x v="2"/>
    <x v="0"/>
    <n v="2"/>
    <x v="1"/>
  </r>
  <r>
    <n v="59"/>
    <x v="0"/>
    <x v="3"/>
    <x v="37"/>
    <x v="122"/>
    <x v="1"/>
    <n v="0"/>
    <n v="140"/>
    <x v="1"/>
    <x v="32"/>
    <x v="0"/>
    <x v="0"/>
    <n v="3"/>
    <x v="1"/>
  </r>
  <r>
    <n v="46"/>
    <x v="0"/>
    <x v="1"/>
    <x v="5"/>
    <x v="44"/>
    <x v="1"/>
    <n v="1"/>
    <n v="147"/>
    <x v="0"/>
    <x v="26"/>
    <x v="2"/>
    <x v="0"/>
    <n v="2"/>
    <x v="1"/>
  </r>
  <r>
    <n v="67"/>
    <x v="0"/>
    <x v="3"/>
    <x v="10"/>
    <x v="83"/>
    <x v="0"/>
    <n v="1"/>
    <n v="163"/>
    <x v="0"/>
    <x v="11"/>
    <x v="2"/>
    <x v="1"/>
    <n v="3"/>
    <x v="1"/>
  </r>
  <r>
    <n v="62"/>
    <x v="0"/>
    <x v="3"/>
    <x v="2"/>
    <x v="91"/>
    <x v="1"/>
    <n v="1"/>
    <n v="99"/>
    <x v="1"/>
    <x v="12"/>
    <x v="2"/>
    <x v="1"/>
    <n v="3"/>
    <x v="1"/>
  </r>
  <r>
    <n v="65"/>
    <x v="0"/>
    <x v="3"/>
    <x v="6"/>
    <x v="70"/>
    <x v="1"/>
    <n v="0"/>
    <n v="158"/>
    <x v="0"/>
    <x v="4"/>
    <x v="1"/>
    <x v="1"/>
    <n v="1"/>
    <x v="1"/>
  </r>
  <r>
    <n v="44"/>
    <x v="0"/>
    <x v="3"/>
    <x v="6"/>
    <x v="25"/>
    <x v="1"/>
    <n v="0"/>
    <n v="177"/>
    <x v="0"/>
    <x v="7"/>
    <x v="1"/>
    <x v="2"/>
    <n v="2"/>
    <x v="1"/>
  </r>
  <r>
    <n v="60"/>
    <x v="0"/>
    <x v="3"/>
    <x v="10"/>
    <x v="59"/>
    <x v="1"/>
    <n v="0"/>
    <n v="141"/>
    <x v="1"/>
    <x v="31"/>
    <x v="2"/>
    <x v="2"/>
    <n v="3"/>
    <x v="1"/>
  </r>
  <r>
    <n v="58"/>
    <x v="0"/>
    <x v="3"/>
    <x v="5"/>
    <x v="80"/>
    <x v="1"/>
    <n v="0"/>
    <n v="111"/>
    <x v="1"/>
    <x v="3"/>
    <x v="1"/>
    <x v="0"/>
    <n v="3"/>
    <x v="1"/>
  </r>
  <r>
    <n v="68"/>
    <x v="0"/>
    <x v="1"/>
    <x v="32"/>
    <x v="123"/>
    <x v="0"/>
    <n v="0"/>
    <n v="150"/>
    <x v="1"/>
    <x v="9"/>
    <x v="2"/>
    <x v="0"/>
    <n v="3"/>
    <x v="1"/>
  </r>
  <r>
    <n v="62"/>
    <x v="1"/>
    <x v="3"/>
    <x v="8"/>
    <x v="124"/>
    <x v="1"/>
    <n v="0"/>
    <n v="145"/>
    <x v="0"/>
    <x v="33"/>
    <x v="0"/>
    <x v="3"/>
    <n v="3"/>
    <x v="1"/>
  </r>
  <r>
    <n v="52"/>
    <x v="0"/>
    <x v="3"/>
    <x v="15"/>
    <x v="71"/>
    <x v="1"/>
    <n v="1"/>
    <n v="161"/>
    <x v="1"/>
    <x v="7"/>
    <x v="1"/>
    <x v="2"/>
    <n v="3"/>
    <x v="1"/>
  </r>
  <r>
    <n v="59"/>
    <x v="0"/>
    <x v="3"/>
    <x v="6"/>
    <x v="10"/>
    <x v="1"/>
    <n v="0"/>
    <n v="142"/>
    <x v="1"/>
    <x v="10"/>
    <x v="2"/>
    <x v="2"/>
    <n v="3"/>
    <x v="1"/>
  </r>
  <r>
    <n v="60"/>
    <x v="1"/>
    <x v="3"/>
    <x v="5"/>
    <x v="59"/>
    <x v="1"/>
    <n v="0"/>
    <n v="157"/>
    <x v="0"/>
    <x v="14"/>
    <x v="2"/>
    <x v="1"/>
    <n v="3"/>
    <x v="1"/>
  </r>
  <r>
    <n v="49"/>
    <x v="0"/>
    <x v="1"/>
    <x v="2"/>
    <x v="119"/>
    <x v="1"/>
    <n v="1"/>
    <n v="139"/>
    <x v="0"/>
    <x v="22"/>
    <x v="2"/>
    <x v="3"/>
    <n v="3"/>
    <x v="1"/>
  </r>
  <r>
    <n v="59"/>
    <x v="0"/>
    <x v="3"/>
    <x v="3"/>
    <x v="27"/>
    <x v="1"/>
    <n v="1"/>
    <n v="162"/>
    <x v="1"/>
    <x v="7"/>
    <x v="1"/>
    <x v="2"/>
    <n v="3"/>
    <x v="1"/>
  </r>
  <r>
    <n v="57"/>
    <x v="0"/>
    <x v="1"/>
    <x v="15"/>
    <x v="105"/>
    <x v="1"/>
    <n v="0"/>
    <n v="150"/>
    <x v="0"/>
    <x v="5"/>
    <x v="2"/>
    <x v="2"/>
    <n v="3"/>
    <x v="1"/>
  </r>
  <r>
    <n v="61"/>
    <x v="0"/>
    <x v="3"/>
    <x v="2"/>
    <x v="49"/>
    <x v="1"/>
    <n v="1"/>
    <n v="140"/>
    <x v="1"/>
    <x v="26"/>
    <x v="2"/>
    <x v="2"/>
    <n v="3"/>
    <x v="1"/>
  </r>
  <r>
    <n v="39"/>
    <x v="0"/>
    <x v="3"/>
    <x v="20"/>
    <x v="15"/>
    <x v="1"/>
    <n v="1"/>
    <n v="140"/>
    <x v="0"/>
    <x v="10"/>
    <x v="2"/>
    <x v="0"/>
    <n v="3"/>
    <x v="1"/>
  </r>
  <r>
    <n v="61"/>
    <x v="1"/>
    <x v="3"/>
    <x v="0"/>
    <x v="125"/>
    <x v="1"/>
    <n v="0"/>
    <n v="146"/>
    <x v="1"/>
    <x v="13"/>
    <x v="2"/>
    <x v="0"/>
    <n v="3"/>
    <x v="1"/>
  </r>
  <r>
    <n v="56"/>
    <x v="0"/>
    <x v="3"/>
    <x v="10"/>
    <x v="126"/>
    <x v="0"/>
    <n v="0"/>
    <n v="144"/>
    <x v="1"/>
    <x v="10"/>
    <x v="2"/>
    <x v="2"/>
    <n v="2"/>
    <x v="1"/>
  </r>
  <r>
    <n v="43"/>
    <x v="1"/>
    <x v="3"/>
    <x v="28"/>
    <x v="127"/>
    <x v="0"/>
    <n v="0"/>
    <n v="136"/>
    <x v="1"/>
    <x v="16"/>
    <x v="2"/>
    <x v="0"/>
    <n v="3"/>
    <x v="1"/>
  </r>
  <r>
    <n v="62"/>
    <x v="1"/>
    <x v="1"/>
    <x v="1"/>
    <x v="7"/>
    <x v="1"/>
    <n v="1"/>
    <n v="97"/>
    <x v="0"/>
    <x v="10"/>
    <x v="2"/>
    <x v="2"/>
    <n v="3"/>
    <x v="1"/>
  </r>
  <r>
    <n v="63"/>
    <x v="0"/>
    <x v="3"/>
    <x v="1"/>
    <x v="115"/>
    <x v="0"/>
    <n v="0"/>
    <n v="132"/>
    <x v="1"/>
    <x v="12"/>
    <x v="1"/>
    <x v="3"/>
    <n v="3"/>
    <x v="1"/>
  </r>
  <r>
    <n v="65"/>
    <x v="0"/>
    <x v="3"/>
    <x v="7"/>
    <x v="83"/>
    <x v="1"/>
    <n v="0"/>
    <n v="127"/>
    <x v="0"/>
    <x v="31"/>
    <x v="2"/>
    <x v="2"/>
    <n v="3"/>
    <x v="1"/>
  </r>
  <r>
    <n v="48"/>
    <x v="0"/>
    <x v="3"/>
    <x v="1"/>
    <x v="43"/>
    <x v="0"/>
    <n v="0"/>
    <n v="150"/>
    <x v="1"/>
    <x v="7"/>
    <x v="1"/>
    <x v="1"/>
    <n v="3"/>
    <x v="1"/>
  </r>
  <r>
    <n v="63"/>
    <x v="1"/>
    <x v="3"/>
    <x v="5"/>
    <x v="128"/>
    <x v="1"/>
    <n v="0"/>
    <n v="154"/>
    <x v="0"/>
    <x v="34"/>
    <x v="2"/>
    <x v="3"/>
    <n v="3"/>
    <x v="1"/>
  </r>
  <r>
    <n v="55"/>
    <x v="0"/>
    <x v="3"/>
    <x v="3"/>
    <x v="129"/>
    <x v="1"/>
    <n v="1"/>
    <n v="111"/>
    <x v="1"/>
    <x v="35"/>
    <x v="0"/>
    <x v="0"/>
    <n v="3"/>
    <x v="1"/>
  </r>
  <r>
    <n v="65"/>
    <x v="0"/>
    <x v="0"/>
    <x v="14"/>
    <x v="120"/>
    <x v="0"/>
    <n v="0"/>
    <n v="174"/>
    <x v="0"/>
    <x v="2"/>
    <x v="2"/>
    <x v="2"/>
    <n v="2"/>
    <x v="1"/>
  </r>
  <r>
    <n v="56"/>
    <x v="1"/>
    <x v="3"/>
    <x v="40"/>
    <x v="74"/>
    <x v="0"/>
    <n v="0"/>
    <n v="133"/>
    <x v="1"/>
    <x v="34"/>
    <x v="0"/>
    <x v="1"/>
    <n v="3"/>
    <x v="1"/>
  </r>
  <r>
    <n v="54"/>
    <x v="0"/>
    <x v="3"/>
    <x v="6"/>
    <x v="10"/>
    <x v="1"/>
    <n v="1"/>
    <n v="126"/>
    <x v="1"/>
    <x v="31"/>
    <x v="2"/>
    <x v="2"/>
    <n v="3"/>
    <x v="1"/>
  </r>
  <r>
    <n v="70"/>
    <x v="0"/>
    <x v="3"/>
    <x v="0"/>
    <x v="130"/>
    <x v="1"/>
    <n v="1"/>
    <n v="125"/>
    <x v="1"/>
    <x v="14"/>
    <x v="0"/>
    <x v="0"/>
    <n v="3"/>
    <x v="1"/>
  </r>
  <r>
    <n v="62"/>
    <x v="0"/>
    <x v="2"/>
    <x v="2"/>
    <x v="131"/>
    <x v="1"/>
    <n v="0"/>
    <n v="103"/>
    <x v="0"/>
    <x v="2"/>
    <x v="2"/>
    <x v="2"/>
    <n v="3"/>
    <x v="1"/>
  </r>
  <r>
    <n v="35"/>
    <x v="0"/>
    <x v="3"/>
    <x v="2"/>
    <x v="26"/>
    <x v="1"/>
    <n v="1"/>
    <n v="130"/>
    <x v="1"/>
    <x v="9"/>
    <x v="2"/>
    <x v="0"/>
    <n v="3"/>
    <x v="1"/>
  </r>
  <r>
    <n v="59"/>
    <x v="0"/>
    <x v="0"/>
    <x v="37"/>
    <x v="74"/>
    <x v="1"/>
    <n v="0"/>
    <n v="159"/>
    <x v="0"/>
    <x v="11"/>
    <x v="2"/>
    <x v="0"/>
    <n v="3"/>
    <x v="1"/>
  </r>
  <r>
    <n v="64"/>
    <x v="0"/>
    <x v="1"/>
    <x v="10"/>
    <x v="53"/>
    <x v="1"/>
    <n v="1"/>
    <n v="131"/>
    <x v="1"/>
    <x v="12"/>
    <x v="2"/>
    <x v="0"/>
    <n v="3"/>
    <x v="1"/>
  </r>
  <r>
    <n v="47"/>
    <x v="0"/>
    <x v="1"/>
    <x v="16"/>
    <x v="20"/>
    <x v="1"/>
    <n v="1"/>
    <n v="152"/>
    <x v="0"/>
    <x v="7"/>
    <x v="1"/>
    <x v="0"/>
    <n v="2"/>
    <x v="1"/>
  </r>
  <r>
    <n v="57"/>
    <x v="0"/>
    <x v="3"/>
    <x v="41"/>
    <x v="132"/>
    <x v="0"/>
    <n v="0"/>
    <n v="124"/>
    <x v="0"/>
    <x v="13"/>
    <x v="2"/>
    <x v="3"/>
    <n v="3"/>
    <x v="1"/>
  </r>
  <r>
    <n v="55"/>
    <x v="0"/>
    <x v="3"/>
    <x v="8"/>
    <x v="132"/>
    <x v="1"/>
    <n v="0"/>
    <n v="145"/>
    <x v="1"/>
    <x v="3"/>
    <x v="2"/>
    <x v="2"/>
    <n v="3"/>
    <x v="1"/>
  </r>
  <r>
    <n v="64"/>
    <x v="0"/>
    <x v="3"/>
    <x v="2"/>
    <x v="78"/>
    <x v="1"/>
    <n v="0"/>
    <n v="96"/>
    <x v="1"/>
    <x v="30"/>
    <x v="0"/>
    <x v="2"/>
    <n v="2"/>
    <x v="1"/>
  </r>
  <r>
    <n v="70"/>
    <x v="0"/>
    <x v="3"/>
    <x v="1"/>
    <x v="133"/>
    <x v="1"/>
    <n v="0"/>
    <n v="109"/>
    <x v="0"/>
    <x v="17"/>
    <x v="2"/>
    <x v="3"/>
    <n v="2"/>
    <x v="1"/>
  </r>
  <r>
    <n v="51"/>
    <x v="0"/>
    <x v="3"/>
    <x v="3"/>
    <x v="134"/>
    <x v="1"/>
    <n v="1"/>
    <n v="173"/>
    <x v="1"/>
    <x v="9"/>
    <x v="1"/>
    <x v="0"/>
    <n v="3"/>
    <x v="1"/>
  </r>
  <r>
    <n v="58"/>
    <x v="0"/>
    <x v="3"/>
    <x v="10"/>
    <x v="135"/>
    <x v="1"/>
    <n v="0"/>
    <n v="171"/>
    <x v="0"/>
    <x v="7"/>
    <x v="1"/>
    <x v="1"/>
    <n v="3"/>
    <x v="1"/>
  </r>
  <r>
    <n v="60"/>
    <x v="0"/>
    <x v="3"/>
    <x v="3"/>
    <x v="136"/>
    <x v="1"/>
    <n v="0"/>
    <n v="170"/>
    <x v="0"/>
    <x v="10"/>
    <x v="2"/>
    <x v="1"/>
    <n v="3"/>
    <x v="1"/>
  </r>
  <r>
    <n v="77"/>
    <x v="0"/>
    <x v="3"/>
    <x v="10"/>
    <x v="30"/>
    <x v="1"/>
    <n v="0"/>
    <n v="162"/>
    <x v="1"/>
    <x v="7"/>
    <x v="1"/>
    <x v="3"/>
    <n v="2"/>
    <x v="1"/>
  </r>
  <r>
    <n v="35"/>
    <x v="0"/>
    <x v="3"/>
    <x v="34"/>
    <x v="120"/>
    <x v="1"/>
    <n v="0"/>
    <n v="156"/>
    <x v="1"/>
    <x v="7"/>
    <x v="1"/>
    <x v="0"/>
    <n v="3"/>
    <x v="1"/>
  </r>
  <r>
    <n v="70"/>
    <x v="0"/>
    <x v="1"/>
    <x v="8"/>
    <x v="32"/>
    <x v="1"/>
    <n v="1"/>
    <n v="112"/>
    <x v="1"/>
    <x v="36"/>
    <x v="2"/>
    <x v="2"/>
    <n v="3"/>
    <x v="1"/>
  </r>
  <r>
    <n v="59"/>
    <x v="1"/>
    <x v="3"/>
    <x v="42"/>
    <x v="126"/>
    <x v="1"/>
    <n v="1"/>
    <n v="143"/>
    <x v="1"/>
    <x v="7"/>
    <x v="2"/>
    <x v="0"/>
    <n v="2"/>
    <x v="1"/>
  </r>
  <r>
    <n v="64"/>
    <x v="0"/>
    <x v="3"/>
    <x v="0"/>
    <x v="22"/>
    <x v="1"/>
    <n v="0"/>
    <n v="132"/>
    <x v="0"/>
    <x v="22"/>
    <x v="2"/>
    <x v="1"/>
    <n v="1"/>
    <x v="1"/>
  </r>
  <r>
    <n v="57"/>
    <x v="0"/>
    <x v="3"/>
    <x v="26"/>
    <x v="123"/>
    <x v="1"/>
    <n v="1"/>
    <n v="88"/>
    <x v="1"/>
    <x v="10"/>
    <x v="2"/>
    <x v="2"/>
    <n v="3"/>
    <x v="1"/>
  </r>
  <r>
    <n v="56"/>
    <x v="0"/>
    <x v="3"/>
    <x v="28"/>
    <x v="137"/>
    <x v="1"/>
    <n v="0"/>
    <n v="105"/>
    <x v="1"/>
    <x v="37"/>
    <x v="2"/>
    <x v="2"/>
    <n v="1"/>
    <x v="1"/>
  </r>
  <r>
    <n v="48"/>
    <x v="0"/>
    <x v="3"/>
    <x v="22"/>
    <x v="123"/>
    <x v="1"/>
    <n v="0"/>
    <n v="166"/>
    <x v="0"/>
    <x v="8"/>
    <x v="2"/>
    <x v="0"/>
    <n v="3"/>
    <x v="1"/>
  </r>
  <r>
    <n v="56"/>
    <x v="1"/>
    <x v="3"/>
    <x v="17"/>
    <x v="138"/>
    <x v="1"/>
    <n v="0"/>
    <n v="150"/>
    <x v="1"/>
    <x v="19"/>
    <x v="2"/>
    <x v="1"/>
    <n v="3"/>
    <x v="1"/>
  </r>
  <r>
    <n v="66"/>
    <x v="0"/>
    <x v="2"/>
    <x v="8"/>
    <x v="78"/>
    <x v="1"/>
    <n v="1"/>
    <n v="120"/>
    <x v="1"/>
    <x v="7"/>
    <x v="2"/>
    <x v="3"/>
    <n v="1"/>
    <x v="1"/>
  </r>
  <r>
    <n v="54"/>
    <x v="0"/>
    <x v="2"/>
    <x v="43"/>
    <x v="14"/>
    <x v="1"/>
    <n v="0"/>
    <n v="195"/>
    <x v="0"/>
    <x v="7"/>
    <x v="1"/>
    <x v="2"/>
    <n v="3"/>
    <x v="1"/>
  </r>
  <r>
    <n v="69"/>
    <x v="0"/>
    <x v="1"/>
    <x v="3"/>
    <x v="83"/>
    <x v="1"/>
    <n v="0"/>
    <n v="146"/>
    <x v="0"/>
    <x v="22"/>
    <x v="2"/>
    <x v="3"/>
    <n v="3"/>
    <x v="1"/>
  </r>
  <r>
    <n v="51"/>
    <x v="0"/>
    <x v="3"/>
    <x v="3"/>
    <x v="66"/>
    <x v="1"/>
    <n v="1"/>
    <n v="122"/>
    <x v="1"/>
    <x v="20"/>
    <x v="2"/>
    <x v="3"/>
    <n v="3"/>
    <x v="1"/>
  </r>
  <r>
    <n v="43"/>
    <x v="0"/>
    <x v="3"/>
    <x v="28"/>
    <x v="18"/>
    <x v="0"/>
    <n v="0"/>
    <n v="143"/>
    <x v="1"/>
    <x v="18"/>
    <x v="2"/>
    <x v="4"/>
    <n v="3"/>
    <x v="1"/>
  </r>
  <r>
    <n v="62"/>
    <x v="1"/>
    <x v="3"/>
    <x v="14"/>
    <x v="6"/>
    <x v="0"/>
    <n v="1"/>
    <n v="106"/>
    <x v="0"/>
    <x v="19"/>
    <x v="2"/>
    <x v="3"/>
    <n v="2"/>
    <x v="1"/>
  </r>
  <r>
    <n v="67"/>
    <x v="0"/>
    <x v="3"/>
    <x v="21"/>
    <x v="134"/>
    <x v="1"/>
    <n v="0"/>
    <n v="125"/>
    <x v="1"/>
    <x v="25"/>
    <x v="2"/>
    <x v="1"/>
    <n v="2"/>
    <x v="1"/>
  </r>
  <r>
    <n v="59"/>
    <x v="0"/>
    <x v="0"/>
    <x v="8"/>
    <x v="28"/>
    <x v="1"/>
    <n v="0"/>
    <n v="125"/>
    <x v="0"/>
    <x v="7"/>
    <x v="1"/>
    <x v="0"/>
    <n v="2"/>
    <x v="1"/>
  </r>
  <r>
    <n v="45"/>
    <x v="0"/>
    <x v="3"/>
    <x v="11"/>
    <x v="53"/>
    <x v="1"/>
    <n v="0"/>
    <n v="147"/>
    <x v="1"/>
    <x v="7"/>
    <x v="2"/>
    <x v="3"/>
    <n v="3"/>
    <x v="1"/>
  </r>
  <r>
    <n v="58"/>
    <x v="0"/>
    <x v="3"/>
    <x v="15"/>
    <x v="139"/>
    <x v="1"/>
    <n v="0"/>
    <n v="130"/>
    <x v="1"/>
    <x v="16"/>
    <x v="2"/>
    <x v="1"/>
    <n v="3"/>
    <x v="1"/>
  </r>
  <r>
    <n v="50"/>
    <x v="0"/>
    <x v="3"/>
    <x v="44"/>
    <x v="140"/>
    <x v="1"/>
    <n v="0"/>
    <n v="126"/>
    <x v="1"/>
    <x v="25"/>
    <x v="2"/>
    <x v="0"/>
    <n v="3"/>
    <x v="1"/>
  </r>
  <r>
    <n v="62"/>
    <x v="1"/>
    <x v="3"/>
    <x v="5"/>
    <x v="79"/>
    <x v="1"/>
    <n v="1"/>
    <n v="154"/>
    <x v="1"/>
    <x v="2"/>
    <x v="2"/>
    <x v="0"/>
    <n v="2"/>
    <x v="1"/>
  </r>
  <r>
    <n v="38"/>
    <x v="0"/>
    <x v="0"/>
    <x v="2"/>
    <x v="44"/>
    <x v="1"/>
    <n v="1"/>
    <n v="182"/>
    <x v="1"/>
    <x v="38"/>
    <x v="2"/>
    <x v="0"/>
    <n v="3"/>
    <x v="1"/>
  </r>
  <r>
    <n v="66"/>
    <x v="1"/>
    <x v="3"/>
    <x v="30"/>
    <x v="98"/>
    <x v="0"/>
    <n v="1"/>
    <n v="165"/>
    <x v="1"/>
    <x v="13"/>
    <x v="2"/>
    <x v="1"/>
    <n v="3"/>
    <x v="1"/>
  </r>
  <r>
    <n v="52"/>
    <x v="0"/>
    <x v="3"/>
    <x v="24"/>
    <x v="110"/>
    <x v="1"/>
    <n v="1"/>
    <n v="160"/>
    <x v="0"/>
    <x v="7"/>
    <x v="1"/>
    <x v="2"/>
    <n v="2"/>
    <x v="1"/>
  </r>
  <r>
    <n v="53"/>
    <x v="0"/>
    <x v="3"/>
    <x v="45"/>
    <x v="120"/>
    <x v="1"/>
    <n v="1"/>
    <n v="95"/>
    <x v="1"/>
    <x v="22"/>
    <x v="2"/>
    <x v="1"/>
    <n v="3"/>
    <x v="1"/>
  </r>
  <r>
    <n v="63"/>
    <x v="1"/>
    <x v="3"/>
    <x v="16"/>
    <x v="32"/>
    <x v="1"/>
    <n v="1"/>
    <n v="169"/>
    <x v="1"/>
    <x v="12"/>
    <x v="2"/>
    <x v="1"/>
    <n v="2"/>
    <x v="1"/>
  </r>
  <r>
    <n v="54"/>
    <x v="0"/>
    <x v="3"/>
    <x v="6"/>
    <x v="108"/>
    <x v="1"/>
    <n v="0"/>
    <n v="108"/>
    <x v="1"/>
    <x v="7"/>
    <x v="2"/>
    <x v="2"/>
    <n v="2"/>
    <x v="1"/>
  </r>
  <r>
    <n v="66"/>
    <x v="0"/>
    <x v="3"/>
    <x v="24"/>
    <x v="22"/>
    <x v="1"/>
    <n v="0"/>
    <n v="132"/>
    <x v="1"/>
    <x v="18"/>
    <x v="1"/>
    <x v="2"/>
    <n v="2"/>
    <x v="1"/>
  </r>
  <r>
    <n v="55"/>
    <x v="1"/>
    <x v="3"/>
    <x v="32"/>
    <x v="141"/>
    <x v="1"/>
    <n v="2"/>
    <n v="117"/>
    <x v="1"/>
    <x v="32"/>
    <x v="2"/>
    <x v="0"/>
    <n v="2"/>
    <x v="1"/>
  </r>
  <r>
    <n v="49"/>
    <x v="0"/>
    <x v="1"/>
    <x v="20"/>
    <x v="99"/>
    <x v="1"/>
    <n v="0"/>
    <n v="126"/>
    <x v="0"/>
    <x v="3"/>
    <x v="1"/>
    <x v="3"/>
    <n v="2"/>
    <x v="1"/>
  </r>
  <r>
    <n v="54"/>
    <x v="0"/>
    <x v="3"/>
    <x v="18"/>
    <x v="104"/>
    <x v="1"/>
    <n v="0"/>
    <n v="116"/>
    <x v="1"/>
    <x v="28"/>
    <x v="2"/>
    <x v="1"/>
    <n v="2"/>
    <x v="1"/>
  </r>
  <r>
    <n v="56"/>
    <x v="0"/>
    <x v="3"/>
    <x v="1"/>
    <x v="14"/>
    <x v="0"/>
    <n v="0"/>
    <n v="103"/>
    <x v="1"/>
    <x v="9"/>
    <x v="0"/>
    <x v="0"/>
    <n v="3"/>
    <x v="1"/>
  </r>
  <r>
    <n v="46"/>
    <x v="0"/>
    <x v="3"/>
    <x v="2"/>
    <x v="126"/>
    <x v="1"/>
    <n v="0"/>
    <n v="144"/>
    <x v="0"/>
    <x v="3"/>
    <x v="1"/>
    <x v="0"/>
    <n v="3"/>
    <x v="1"/>
  </r>
  <r>
    <n v="61"/>
    <x v="0"/>
    <x v="0"/>
    <x v="17"/>
    <x v="19"/>
    <x v="1"/>
    <n v="1"/>
    <n v="145"/>
    <x v="0"/>
    <x v="14"/>
    <x v="2"/>
    <x v="1"/>
    <n v="2"/>
    <x v="1"/>
  </r>
  <r>
    <n v="67"/>
    <x v="0"/>
    <x v="3"/>
    <x v="2"/>
    <x v="142"/>
    <x v="1"/>
    <n v="1"/>
    <n v="71"/>
    <x v="0"/>
    <x v="13"/>
    <x v="2"/>
    <x v="0"/>
    <n v="2"/>
    <x v="1"/>
  </r>
  <r>
    <n v="58"/>
    <x v="0"/>
    <x v="3"/>
    <x v="21"/>
    <x v="19"/>
    <x v="1"/>
    <n v="1"/>
    <n v="156"/>
    <x v="0"/>
    <x v="18"/>
    <x v="1"/>
    <x v="2"/>
    <n v="3"/>
    <x v="1"/>
  </r>
  <r>
    <n v="47"/>
    <x v="0"/>
    <x v="3"/>
    <x v="6"/>
    <x v="11"/>
    <x v="1"/>
    <n v="0"/>
    <n v="118"/>
    <x v="1"/>
    <x v="13"/>
    <x v="2"/>
    <x v="2"/>
    <n v="2"/>
    <x v="1"/>
  </r>
  <r>
    <n v="52"/>
    <x v="0"/>
    <x v="3"/>
    <x v="10"/>
    <x v="22"/>
    <x v="1"/>
    <n v="1"/>
    <n v="168"/>
    <x v="0"/>
    <x v="13"/>
    <x v="1"/>
    <x v="1"/>
    <n v="3"/>
    <x v="1"/>
  </r>
  <r>
    <n v="58"/>
    <x v="0"/>
    <x v="3"/>
    <x v="38"/>
    <x v="143"/>
    <x v="1"/>
    <n v="1"/>
    <n v="105"/>
    <x v="0"/>
    <x v="22"/>
    <x v="2"/>
    <x v="2"/>
    <n v="3"/>
    <x v="1"/>
  </r>
  <r>
    <n v="57"/>
    <x v="0"/>
    <x v="2"/>
    <x v="22"/>
    <x v="61"/>
    <x v="1"/>
    <n v="1"/>
    <n v="141"/>
    <x v="0"/>
    <x v="24"/>
    <x v="1"/>
    <x v="0"/>
    <n v="3"/>
    <x v="1"/>
  </r>
  <r>
    <n v="58"/>
    <x v="1"/>
    <x v="2"/>
    <x v="33"/>
    <x v="144"/>
    <x v="0"/>
    <n v="0"/>
    <n v="152"/>
    <x v="0"/>
    <x v="7"/>
    <x v="1"/>
    <x v="1"/>
    <n v="2"/>
    <x v="1"/>
  </r>
  <r>
    <n v="61"/>
    <x v="0"/>
    <x v="3"/>
    <x v="14"/>
    <x v="145"/>
    <x v="1"/>
    <n v="0"/>
    <n v="125"/>
    <x v="1"/>
    <x v="26"/>
    <x v="2"/>
    <x v="2"/>
    <n v="2"/>
    <x v="1"/>
  </r>
  <r>
    <n v="42"/>
    <x v="0"/>
    <x v="3"/>
    <x v="33"/>
    <x v="77"/>
    <x v="1"/>
    <n v="1"/>
    <n v="125"/>
    <x v="1"/>
    <x v="12"/>
    <x v="2"/>
    <x v="0"/>
    <n v="1"/>
    <x v="1"/>
  </r>
  <r>
    <n v="52"/>
    <x v="0"/>
    <x v="3"/>
    <x v="15"/>
    <x v="2"/>
    <x v="0"/>
    <n v="1"/>
    <n v="156"/>
    <x v="1"/>
    <x v="13"/>
    <x v="2"/>
    <x v="0"/>
    <n v="0"/>
    <x v="1"/>
  </r>
  <r>
    <n v="59"/>
    <x v="0"/>
    <x v="1"/>
    <x v="34"/>
    <x v="143"/>
    <x v="0"/>
    <n v="1"/>
    <n v="134"/>
    <x v="0"/>
    <x v="30"/>
    <x v="2"/>
    <x v="2"/>
    <n v="1"/>
    <x v="1"/>
  </r>
  <r>
    <n v="40"/>
    <x v="0"/>
    <x v="3"/>
    <x v="26"/>
    <x v="73"/>
    <x v="1"/>
    <n v="1"/>
    <n v="181"/>
    <x v="0"/>
    <x v="7"/>
    <x v="1"/>
    <x v="0"/>
    <n v="3"/>
    <x v="1"/>
  </r>
  <r>
    <n v="61"/>
    <x v="0"/>
    <x v="3"/>
    <x v="3"/>
    <x v="72"/>
    <x v="1"/>
    <n v="0"/>
    <n v="138"/>
    <x v="1"/>
    <x v="19"/>
    <x v="1"/>
    <x v="2"/>
    <n v="3"/>
    <x v="1"/>
  </r>
  <r>
    <n v="46"/>
    <x v="0"/>
    <x v="3"/>
    <x v="3"/>
    <x v="146"/>
    <x v="1"/>
    <n v="1"/>
    <n v="120"/>
    <x v="1"/>
    <x v="12"/>
    <x v="2"/>
    <x v="1"/>
    <n v="3"/>
    <x v="1"/>
  </r>
  <r>
    <n v="59"/>
    <x v="0"/>
    <x v="0"/>
    <x v="17"/>
    <x v="2"/>
    <x v="1"/>
    <n v="1"/>
    <n v="162"/>
    <x v="0"/>
    <x v="3"/>
    <x v="1"/>
    <x v="1"/>
    <n v="2"/>
    <x v="1"/>
  </r>
  <r>
    <n v="57"/>
    <x v="0"/>
    <x v="2"/>
    <x v="46"/>
    <x v="31"/>
    <x v="1"/>
    <n v="0"/>
    <n v="164"/>
    <x v="0"/>
    <x v="7"/>
    <x v="1"/>
    <x v="2"/>
    <n v="2"/>
    <x v="1"/>
  </r>
  <r>
    <n v="57"/>
    <x v="0"/>
    <x v="3"/>
    <x v="6"/>
    <x v="111"/>
    <x v="1"/>
    <n v="1"/>
    <n v="143"/>
    <x v="1"/>
    <x v="16"/>
    <x v="2"/>
    <x v="2"/>
    <n v="3"/>
    <x v="1"/>
  </r>
  <r>
    <n v="55"/>
    <x v="1"/>
    <x v="3"/>
    <x v="15"/>
    <x v="63"/>
    <x v="1"/>
    <n v="2"/>
    <n v="130"/>
    <x v="1"/>
    <x v="22"/>
    <x v="2"/>
    <x v="2"/>
    <n v="3"/>
    <x v="1"/>
  </r>
  <r>
    <n v="61"/>
    <x v="0"/>
    <x v="3"/>
    <x v="29"/>
    <x v="55"/>
    <x v="1"/>
    <n v="1"/>
    <n v="161"/>
    <x v="0"/>
    <x v="7"/>
    <x v="1"/>
    <x v="2"/>
    <n v="3"/>
    <x v="1"/>
  </r>
  <r>
    <n v="58"/>
    <x v="0"/>
    <x v="3"/>
    <x v="47"/>
    <x v="65"/>
    <x v="1"/>
    <n v="2"/>
    <n v="140"/>
    <x v="0"/>
    <x v="39"/>
    <x v="0"/>
    <x v="3"/>
    <n v="1"/>
    <x v="1"/>
  </r>
  <r>
    <n v="58"/>
    <x v="1"/>
    <x v="3"/>
    <x v="37"/>
    <x v="114"/>
    <x v="0"/>
    <n v="0"/>
    <n v="146"/>
    <x v="1"/>
    <x v="31"/>
    <x v="2"/>
    <x v="1"/>
    <n v="1"/>
    <x v="1"/>
  </r>
  <r>
    <n v="67"/>
    <x v="0"/>
    <x v="1"/>
    <x v="26"/>
    <x v="22"/>
    <x v="1"/>
    <n v="0"/>
    <n v="150"/>
    <x v="0"/>
    <x v="3"/>
    <x v="2"/>
    <x v="0"/>
    <n v="3"/>
    <x v="1"/>
  </r>
  <r>
    <n v="44"/>
    <x v="0"/>
    <x v="3"/>
    <x v="2"/>
    <x v="147"/>
    <x v="1"/>
    <n v="1"/>
    <n v="144"/>
    <x v="1"/>
    <x v="31"/>
    <x v="0"/>
    <x v="0"/>
    <n v="1"/>
    <x v="1"/>
  </r>
  <r>
    <n v="63"/>
    <x v="0"/>
    <x v="3"/>
    <x v="3"/>
    <x v="148"/>
    <x v="1"/>
    <n v="0"/>
    <n v="144"/>
    <x v="1"/>
    <x v="34"/>
    <x v="1"/>
    <x v="1"/>
    <n v="3"/>
    <x v="1"/>
  </r>
  <r>
    <n v="63"/>
    <x v="1"/>
    <x v="3"/>
    <x v="22"/>
    <x v="25"/>
    <x v="1"/>
    <n v="1"/>
    <n v="136"/>
    <x v="1"/>
    <x v="7"/>
    <x v="2"/>
    <x v="0"/>
    <n v="2"/>
    <x v="1"/>
  </r>
  <r>
    <n v="59"/>
    <x v="0"/>
    <x v="3"/>
    <x v="48"/>
    <x v="149"/>
    <x v="0"/>
    <n v="0"/>
    <n v="90"/>
    <x v="0"/>
    <x v="13"/>
    <x v="2"/>
    <x v="1"/>
    <n v="1"/>
    <x v="1"/>
  </r>
  <r>
    <n v="57"/>
    <x v="1"/>
    <x v="3"/>
    <x v="3"/>
    <x v="150"/>
    <x v="1"/>
    <n v="1"/>
    <n v="123"/>
    <x v="1"/>
    <x v="11"/>
    <x v="2"/>
    <x v="0"/>
    <n v="3"/>
    <x v="1"/>
  </r>
  <r>
    <n v="45"/>
    <x v="0"/>
    <x v="0"/>
    <x v="6"/>
    <x v="37"/>
    <x v="1"/>
    <n v="1"/>
    <n v="132"/>
    <x v="0"/>
    <x v="10"/>
    <x v="2"/>
    <x v="0"/>
    <n v="3"/>
    <x v="1"/>
  </r>
  <r>
    <n v="68"/>
    <x v="0"/>
    <x v="3"/>
    <x v="44"/>
    <x v="88"/>
    <x v="0"/>
    <n v="1"/>
    <n v="141"/>
    <x v="0"/>
    <x v="32"/>
    <x v="2"/>
    <x v="1"/>
    <n v="3"/>
    <x v="1"/>
  </r>
  <r>
    <n v="57"/>
    <x v="0"/>
    <x v="3"/>
    <x v="1"/>
    <x v="151"/>
    <x v="1"/>
    <n v="1"/>
    <n v="115"/>
    <x v="1"/>
    <x v="10"/>
    <x v="2"/>
    <x v="2"/>
    <n v="3"/>
    <x v="1"/>
  </r>
  <r>
    <n v="57"/>
    <x v="1"/>
    <x v="2"/>
    <x v="1"/>
    <x v="3"/>
    <x v="1"/>
    <n v="0"/>
    <n v="174"/>
    <x v="0"/>
    <x v="7"/>
    <x v="2"/>
    <x v="2"/>
    <n v="2"/>
    <x v="1"/>
  </r>
  <r>
    <m/>
    <x v="2"/>
    <x v="4"/>
    <x v="49"/>
    <x v="152"/>
    <x v="2"/>
    <m/>
    <m/>
    <x v="2"/>
    <x v="40"/>
    <x v="3"/>
    <x v="5"/>
    <m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57"/>
    <x v="0"/>
    <s v="Angina tipica"/>
    <n v="120"/>
    <n v="354"/>
    <s v="≤120 mg/dl"/>
    <n v="1"/>
    <n v="163"/>
    <s v="Sì"/>
    <x v="0"/>
    <n v="2"/>
    <n v="0"/>
    <x v="0"/>
    <x v="0"/>
  </r>
  <r>
    <n v="57"/>
    <x v="1"/>
    <s v="Angina tipica"/>
    <n v="140"/>
    <n v="192"/>
    <s v="≤120 mg/dl"/>
    <n v="1"/>
    <n v="148"/>
    <s v="No"/>
    <x v="1"/>
    <n v="1"/>
    <n v="0"/>
    <x v="1"/>
    <x v="0"/>
  </r>
  <r>
    <n v="54"/>
    <x v="1"/>
    <s v="Angina tipica"/>
    <n v="140"/>
    <n v="239"/>
    <s v="≤120 mg/dl"/>
    <n v="1"/>
    <n v="160"/>
    <s v="No"/>
    <x v="2"/>
    <n v="2"/>
    <n v="0"/>
    <x v="0"/>
    <x v="0"/>
  </r>
  <r>
    <n v="43"/>
    <x v="1"/>
    <s v="Angina tipica"/>
    <n v="150"/>
    <n v="247"/>
    <s v="≤120 mg/dl"/>
    <n v="1"/>
    <n v="171"/>
    <s v="No"/>
    <x v="3"/>
    <n v="2"/>
    <n v="0"/>
    <x v="0"/>
    <x v="0"/>
  </r>
  <r>
    <n v="59"/>
    <x v="1"/>
    <s v="Angina tipica"/>
    <n v="135"/>
    <n v="234"/>
    <s v="≤120 mg/dl"/>
    <n v="1"/>
    <n v="161"/>
    <s v="No"/>
    <x v="4"/>
    <n v="1"/>
    <n v="0"/>
    <x v="2"/>
    <x v="0"/>
  </r>
  <r>
    <n v="42"/>
    <x v="1"/>
    <s v="Angina tipica"/>
    <n v="140"/>
    <n v="226"/>
    <s v="≤120 mg/dl"/>
    <n v="1"/>
    <n v="178"/>
    <s v="No"/>
    <x v="5"/>
    <n v="2"/>
    <n v="0"/>
    <x v="0"/>
    <x v="0"/>
  </r>
  <r>
    <n v="65"/>
    <x v="1"/>
    <s v="Angina tipica"/>
    <n v="120"/>
    <n v="177"/>
    <s v="≤120 mg/dl"/>
    <n v="1"/>
    <n v="140"/>
    <s v="No"/>
    <x v="1"/>
    <n v="2"/>
    <n v="0"/>
    <x v="2"/>
    <x v="0"/>
  </r>
  <r>
    <n v="45"/>
    <x v="1"/>
    <s v="Angina tipica"/>
    <n v="104"/>
    <n v="208"/>
    <s v="≤120 mg/dl"/>
    <n v="0"/>
    <n v="148"/>
    <s v="Sì"/>
    <x v="6"/>
    <n v="1"/>
    <n v="0"/>
    <x v="0"/>
    <x v="0"/>
  </r>
  <r>
    <n v="53"/>
    <x v="0"/>
    <s v="Angina tipica"/>
    <n v="130"/>
    <n v="264"/>
    <s v="≤120 mg/dl"/>
    <n v="0"/>
    <n v="143"/>
    <s v="No"/>
    <x v="1"/>
    <n v="1"/>
    <n v="0"/>
    <x v="0"/>
    <x v="0"/>
  </r>
  <r>
    <n v="53"/>
    <x v="0"/>
    <s v="Angina tipica"/>
    <n v="138"/>
    <n v="234"/>
    <s v="≤120 mg/dl"/>
    <n v="0"/>
    <n v="160"/>
    <s v="No"/>
    <x v="5"/>
    <n v="2"/>
    <n v="0"/>
    <x v="0"/>
    <x v="0"/>
  </r>
  <r>
    <n v="66"/>
    <x v="1"/>
    <s v="Angina tipica"/>
    <n v="120"/>
    <n v="302"/>
    <s v="≤120 mg/dl"/>
    <n v="0"/>
    <n v="151"/>
    <s v="No"/>
    <x v="1"/>
    <n v="1"/>
    <n v="0"/>
    <x v="0"/>
    <x v="0"/>
  </r>
  <r>
    <n v="48"/>
    <x v="1"/>
    <s v="Angina tipica"/>
    <n v="122"/>
    <n v="222"/>
    <s v="≤120 mg/dl"/>
    <n v="0"/>
    <n v="186"/>
    <s v="No"/>
    <x v="5"/>
    <n v="2"/>
    <n v="0"/>
    <x v="0"/>
    <x v="0"/>
  </r>
  <r>
    <n v="45"/>
    <x v="1"/>
    <s v="Angina tipica"/>
    <n v="115"/>
    <n v="260"/>
    <s v="≤120 mg/dl"/>
    <n v="0"/>
    <n v="185"/>
    <s v="No"/>
    <x v="5"/>
    <n v="2"/>
    <n v="0"/>
    <x v="0"/>
    <x v="0"/>
  </r>
  <r>
    <n v="57"/>
    <x v="0"/>
    <s v="Angina tipica"/>
    <n v="128"/>
    <n v="303"/>
    <s v="≤120 mg/dl"/>
    <n v="0"/>
    <n v="159"/>
    <s v="No"/>
    <x v="5"/>
    <n v="2"/>
    <n v="1"/>
    <x v="0"/>
    <x v="0"/>
  </r>
  <r>
    <n v="35"/>
    <x v="0"/>
    <s v="Angina tipica"/>
    <n v="138"/>
    <n v="183"/>
    <s v="≤120 mg/dl"/>
    <n v="1"/>
    <n v="182"/>
    <s v="No"/>
    <x v="7"/>
    <n v="2"/>
    <n v="0"/>
    <x v="0"/>
    <x v="0"/>
  </r>
  <r>
    <n v="62"/>
    <x v="0"/>
    <s v="Angina tipica"/>
    <n v="124"/>
    <n v="209"/>
    <s v="≤120 mg/dl"/>
    <n v="1"/>
    <n v="163"/>
    <s v="No"/>
    <x v="5"/>
    <n v="2"/>
    <n v="0"/>
    <x v="0"/>
    <x v="0"/>
  </r>
  <r>
    <n v="51"/>
    <x v="1"/>
    <s v="Angina tipica"/>
    <n v="140"/>
    <n v="261"/>
    <s v="≤120 mg/dl"/>
    <n v="0"/>
    <n v="186"/>
    <s v="Sì"/>
    <x v="5"/>
    <n v="2"/>
    <n v="0"/>
    <x v="0"/>
    <x v="0"/>
  </r>
  <r>
    <n v="42"/>
    <x v="0"/>
    <s v="Angina tipica"/>
    <n v="102"/>
    <n v="265"/>
    <s v="≤120 mg/dl"/>
    <n v="0"/>
    <n v="122"/>
    <s v="No"/>
    <x v="0"/>
    <n v="1"/>
    <n v="0"/>
    <x v="0"/>
    <x v="0"/>
  </r>
  <r>
    <n v="58"/>
    <x v="0"/>
    <s v="Angina tipica"/>
    <n v="100"/>
    <n v="248"/>
    <s v="≤120 mg/dl"/>
    <n v="0"/>
    <n v="122"/>
    <s v="No"/>
    <x v="8"/>
    <n v="1"/>
    <n v="0"/>
    <x v="0"/>
    <x v="0"/>
  </r>
  <r>
    <n v="57"/>
    <x v="1"/>
    <s v="Angina tipica"/>
    <n v="132"/>
    <n v="207"/>
    <s v="≤120 mg/dl"/>
    <n v="1"/>
    <n v="168"/>
    <s v="Sì"/>
    <x v="5"/>
    <n v="2"/>
    <n v="0"/>
    <x v="2"/>
    <x v="0"/>
  </r>
  <r>
    <n v="53"/>
    <x v="1"/>
    <s v="Angina tipica"/>
    <n v="142"/>
    <n v="226"/>
    <s v="≤120 mg/dl"/>
    <n v="0"/>
    <n v="111"/>
    <s v="Sì"/>
    <x v="5"/>
    <n v="2"/>
    <n v="0"/>
    <x v="2"/>
    <x v="0"/>
  </r>
  <r>
    <n v="62"/>
    <x v="0"/>
    <s v="Angina tipica"/>
    <n v="140"/>
    <n v="394"/>
    <s v="≤120 mg/dl"/>
    <n v="0"/>
    <n v="157"/>
    <s v="No"/>
    <x v="2"/>
    <n v="1"/>
    <n v="0"/>
    <x v="0"/>
    <x v="0"/>
  </r>
  <r>
    <n v="52"/>
    <x v="1"/>
    <s v="Angina tipica"/>
    <n v="108"/>
    <n v="233"/>
    <s v="&gt;120 mg/dl"/>
    <n v="1"/>
    <n v="147"/>
    <s v="No"/>
    <x v="9"/>
    <n v="2"/>
    <n v="3"/>
    <x v="2"/>
    <x v="0"/>
  </r>
  <r>
    <n v="45"/>
    <x v="0"/>
    <s v="Angina tipica"/>
    <n v="138"/>
    <n v="236"/>
    <s v="≤120 mg/dl"/>
    <n v="0"/>
    <n v="152"/>
    <s v="Sì"/>
    <x v="10"/>
    <n v="1"/>
    <n v="0"/>
    <x v="0"/>
    <x v="0"/>
  </r>
  <r>
    <n v="50"/>
    <x v="0"/>
    <s v="Angina tipica"/>
    <n v="110"/>
    <n v="254"/>
    <s v="≤120 mg/dl"/>
    <n v="0"/>
    <n v="159"/>
    <s v="No"/>
    <x v="5"/>
    <n v="2"/>
    <n v="0"/>
    <x v="0"/>
    <x v="0"/>
  </r>
  <r>
    <n v="64"/>
    <x v="0"/>
    <s v="Angina tipica"/>
    <n v="180"/>
    <n v="325"/>
    <s v="≤120 mg/dl"/>
    <n v="1"/>
    <n v="154"/>
    <s v="Sì"/>
    <x v="5"/>
    <n v="2"/>
    <n v="0"/>
    <x v="0"/>
    <x v="0"/>
  </r>
  <r>
    <n v="43"/>
    <x v="1"/>
    <s v="Angina tipica"/>
    <n v="110"/>
    <n v="211"/>
    <s v="≤120 mg/dl"/>
    <n v="1"/>
    <n v="161"/>
    <s v="No"/>
    <x v="5"/>
    <n v="2"/>
    <n v="0"/>
    <x v="2"/>
    <x v="0"/>
  </r>
  <r>
    <n v="46"/>
    <x v="0"/>
    <s v="Angina tipica"/>
    <n v="138"/>
    <n v="243"/>
    <s v="≤120 mg/dl"/>
    <n v="0"/>
    <n v="152"/>
    <s v="Sì"/>
    <x v="5"/>
    <n v="1"/>
    <n v="0"/>
    <x v="0"/>
    <x v="0"/>
  </r>
  <r>
    <n v="64"/>
    <x v="0"/>
    <s v="Angina tipica"/>
    <n v="130"/>
    <n v="303"/>
    <s v="≤120 mg/dl"/>
    <n v="1"/>
    <n v="122"/>
    <s v="No"/>
    <x v="11"/>
    <n v="1"/>
    <n v="2"/>
    <x v="0"/>
    <x v="0"/>
  </r>
  <r>
    <n v="59"/>
    <x v="1"/>
    <s v="Angina tipica"/>
    <n v="138"/>
    <n v="271"/>
    <s v="≤120 mg/dl"/>
    <n v="0"/>
    <n v="182"/>
    <s v="No"/>
    <x v="5"/>
    <n v="2"/>
    <n v="0"/>
    <x v="0"/>
    <x v="0"/>
  </r>
  <r>
    <n v="47"/>
    <x v="1"/>
    <s v="Angina tipica"/>
    <n v="112"/>
    <n v="204"/>
    <s v="≤120 mg/dl"/>
    <n v="1"/>
    <n v="143"/>
    <s v="No"/>
    <x v="9"/>
    <n v="2"/>
    <n v="0"/>
    <x v="0"/>
    <x v="0"/>
  </r>
  <r>
    <n v="49"/>
    <x v="0"/>
    <s v="Angina tipica"/>
    <n v="130"/>
    <n v="269"/>
    <s v="≤120 mg/dl"/>
    <n v="1"/>
    <n v="163"/>
    <s v="No"/>
    <x v="5"/>
    <n v="2"/>
    <n v="0"/>
    <x v="0"/>
    <x v="0"/>
  </r>
  <r>
    <n v="57"/>
    <x v="1"/>
    <s v="Angina tipica"/>
    <n v="110"/>
    <n v="201"/>
    <s v="≤120 mg/dl"/>
    <n v="1"/>
    <n v="126"/>
    <s v="Sì"/>
    <x v="3"/>
    <n v="1"/>
    <n v="0"/>
    <x v="1"/>
    <x v="0"/>
  </r>
  <r>
    <n v="64"/>
    <x v="1"/>
    <s v="Angina tipica"/>
    <n v="128"/>
    <n v="263"/>
    <s v="≤120 mg/dl"/>
    <n v="1"/>
    <n v="105"/>
    <s v="Sì"/>
    <x v="10"/>
    <n v="1"/>
    <n v="1"/>
    <x v="2"/>
    <x v="0"/>
  </r>
  <r>
    <n v="43"/>
    <x v="1"/>
    <s v="Angina tipica"/>
    <n v="115"/>
    <n v="303"/>
    <s v="≤120 mg/dl"/>
    <n v="1"/>
    <n v="181"/>
    <s v="No"/>
    <x v="2"/>
    <n v="1"/>
    <n v="0"/>
    <x v="0"/>
    <x v="0"/>
  </r>
  <r>
    <n v="67"/>
    <x v="0"/>
    <s v="Angina tipica"/>
    <n v="106"/>
    <n v="223"/>
    <s v="≤120 mg/dl"/>
    <n v="1"/>
    <n v="142"/>
    <s v="No"/>
    <x v="12"/>
    <n v="2"/>
    <n v="2"/>
    <x v="0"/>
    <x v="0"/>
  </r>
  <r>
    <n v="66"/>
    <x v="1"/>
    <s v="Angina tipica"/>
    <n v="160"/>
    <n v="228"/>
    <s v="≤120 mg/dl"/>
    <n v="0"/>
    <n v="138"/>
    <s v="No"/>
    <x v="13"/>
    <n v="2"/>
    <n v="0"/>
    <x v="1"/>
    <x v="0"/>
  </r>
  <r>
    <n v="71"/>
    <x v="0"/>
    <s v="Angina tipica"/>
    <n v="112"/>
    <n v="149"/>
    <s v="≤120 mg/dl"/>
    <n v="1"/>
    <n v="125"/>
    <s v="No"/>
    <x v="14"/>
    <n v="1"/>
    <n v="0"/>
    <x v="0"/>
    <x v="0"/>
  </r>
  <r>
    <n v="58"/>
    <x v="0"/>
    <s v="Angina tipica"/>
    <n v="130"/>
    <n v="197"/>
    <s v="≤120 mg/dl"/>
    <n v="1"/>
    <n v="131"/>
    <s v="No"/>
    <x v="0"/>
    <n v="1"/>
    <n v="0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n v="43"/>
    <s v="Maschio"/>
    <s v="Angina tipica"/>
    <n v="132"/>
    <n v="247"/>
    <s v="&gt;120 mg/dl"/>
    <n v="0"/>
    <n v="143"/>
    <s v="Sì"/>
    <n v="0.1"/>
    <n v="1"/>
    <n v="4"/>
    <n v="3"/>
    <s v="Sano"/>
  </r>
  <r>
    <n v="44"/>
    <s v="Maschio"/>
    <s v="Angina tipica"/>
    <n v="112"/>
    <n v="290"/>
    <s v="≤120 mg/dl"/>
    <n v="0"/>
    <n v="153"/>
    <s v="No"/>
    <n v="0"/>
    <n v="2"/>
    <n v="1"/>
    <n v="2"/>
    <s v="Sano"/>
  </r>
  <r>
    <n v="44"/>
    <s v="Maschio"/>
    <s v="Angina tipica"/>
    <n v="110"/>
    <n v="197"/>
    <s v="≤120 mg/dl"/>
    <n v="0"/>
    <n v="177"/>
    <s v="No"/>
    <n v="0"/>
    <n v="2"/>
    <n v="1"/>
    <n v="2"/>
    <s v="Sano"/>
  </r>
  <r>
    <n v="44"/>
    <s v="Maschio"/>
    <s v="Angina tipica"/>
    <n v="120"/>
    <n v="169"/>
    <s v="≤120 mg/dl"/>
    <n v="1"/>
    <n v="144"/>
    <s v="Sì"/>
    <n v="2.8"/>
    <n v="0"/>
    <n v="0"/>
    <n v="1"/>
    <s v="Sano"/>
  </r>
  <r>
    <n v="45"/>
    <s v="Maschio"/>
    <s v="Angina tipica"/>
    <n v="142"/>
    <n v="309"/>
    <s v="≤120 mg/dl"/>
    <n v="0"/>
    <n v="147"/>
    <s v="Sì"/>
    <n v="0"/>
    <n v="1"/>
    <n v="3"/>
    <n v="3"/>
    <s v="Sano"/>
  </r>
  <r>
    <n v="45"/>
    <s v="Maschio"/>
    <s v="Asintomatico"/>
    <n v="110"/>
    <n v="264"/>
    <s v="≤120 mg/dl"/>
    <n v="1"/>
    <n v="132"/>
    <s v="No"/>
    <n v="1.2"/>
    <n v="1"/>
    <n v="0"/>
    <n v="3"/>
    <s v="Sano"/>
  </r>
  <r>
    <n v="46"/>
    <s v="Maschio"/>
    <s v="Dolore non anginoso"/>
    <n v="150"/>
    <n v="231"/>
    <s v="≤120 mg/dl"/>
    <n v="1"/>
    <n v="147"/>
    <s v="No"/>
    <n v="3.6"/>
    <n v="1"/>
    <n v="0"/>
    <n v="2"/>
    <s v="Sano"/>
  </r>
  <r>
    <n v="46"/>
    <s v="Maschio"/>
    <s v="Angina tipica"/>
    <n v="120"/>
    <n v="249"/>
    <s v="≤120 mg/dl"/>
    <n v="0"/>
    <n v="144"/>
    <s v="No"/>
    <n v="0.8"/>
    <n v="2"/>
    <n v="0"/>
    <n v="3"/>
    <s v="Sano"/>
  </r>
  <r>
    <n v="46"/>
    <s v="Maschio"/>
    <s v="Angina tipica"/>
    <n v="140"/>
    <n v="311"/>
    <s v="≤120 mg/dl"/>
    <n v="1"/>
    <n v="120"/>
    <s v="Sì"/>
    <n v="1.8"/>
    <n v="1"/>
    <n v="2"/>
    <n v="3"/>
    <s v="Sano"/>
  </r>
  <r>
    <n v="47"/>
    <s v="Maschio"/>
    <s v="Dolore non anginoso"/>
    <n v="108"/>
    <n v="243"/>
    <s v="≤120 mg/dl"/>
    <n v="1"/>
    <n v="152"/>
    <s v="No"/>
    <n v="0"/>
    <n v="2"/>
    <n v="0"/>
    <n v="2"/>
    <s v="Sano"/>
  </r>
  <r>
    <n v="47"/>
    <s v="Maschio"/>
    <s v="Angina tipica"/>
    <n v="110"/>
    <n v="275"/>
    <s v="≤120 mg/dl"/>
    <n v="0"/>
    <n v="118"/>
    <s v="Sì"/>
    <n v="1"/>
    <n v="1"/>
    <n v="1"/>
    <n v="2"/>
    <s v="Sano"/>
  </r>
  <r>
    <n v="48"/>
    <s v="Maschio"/>
    <s v="Angina atipica"/>
    <n v="110"/>
    <n v="229"/>
    <s v="≤120 mg/dl"/>
    <n v="1"/>
    <n v="168"/>
    <s v="No"/>
    <n v="1"/>
    <n v="0"/>
    <n v="0"/>
    <n v="3"/>
    <s v="Sano"/>
  </r>
  <r>
    <n v="48"/>
    <s v="Maschio"/>
    <s v="Angina tipica"/>
    <n v="130"/>
    <n v="256"/>
    <s v="&gt;120 mg/dl"/>
    <n v="0"/>
    <n v="150"/>
    <s v="Sì"/>
    <n v="0"/>
    <n v="2"/>
    <n v="2"/>
    <n v="3"/>
    <s v="Sano"/>
  </r>
  <r>
    <n v="48"/>
    <s v="Maschio"/>
    <s v="Angina tipica"/>
    <n v="124"/>
    <n v="274"/>
    <s v="≤120 mg/dl"/>
    <n v="0"/>
    <n v="166"/>
    <s v="No"/>
    <n v="0.5"/>
    <n v="1"/>
    <n v="0"/>
    <n v="3"/>
    <s v="Sano"/>
  </r>
  <r>
    <n v="49"/>
    <s v="Maschio"/>
    <s v="Dolore non anginoso"/>
    <n v="120"/>
    <n v="188"/>
    <s v="≤120 mg/dl"/>
    <n v="1"/>
    <n v="139"/>
    <s v="No"/>
    <n v="2"/>
    <n v="1"/>
    <n v="3"/>
    <n v="3"/>
    <s v="Sano"/>
  </r>
  <r>
    <n v="49"/>
    <s v="Maschio"/>
    <s v="Dolore non anginoso"/>
    <n v="118"/>
    <n v="149"/>
    <s v="≤120 mg/dl"/>
    <n v="0"/>
    <n v="126"/>
    <s v="No"/>
    <n v="0.8"/>
    <n v="2"/>
    <n v="3"/>
    <n v="2"/>
    <s v="Sano"/>
  </r>
  <r>
    <n v="50"/>
    <s v="Maschio"/>
    <s v="Angina tipica"/>
    <n v="150"/>
    <n v="243"/>
    <s v="≤120 mg/dl"/>
    <n v="0"/>
    <n v="128"/>
    <s v="No"/>
    <n v="2.6"/>
    <n v="1"/>
    <n v="0"/>
    <n v="3"/>
    <s v="Sano"/>
  </r>
  <r>
    <n v="50"/>
    <s v="Maschio"/>
    <s v="Dolore non anginoso"/>
    <n v="140"/>
    <n v="233"/>
    <s v="≤120 mg/dl"/>
    <n v="1"/>
    <n v="163"/>
    <s v="No"/>
    <n v="0.6"/>
    <n v="1"/>
    <n v="1"/>
    <n v="3"/>
    <s v="Sano"/>
  </r>
  <r>
    <n v="50"/>
    <s v="Maschio"/>
    <s v="Angina tipica"/>
    <n v="144"/>
    <n v="200"/>
    <s v="≤120 mg/dl"/>
    <n v="0"/>
    <n v="126"/>
    <s v="Sì"/>
    <n v="0.9"/>
    <n v="1"/>
    <n v="0"/>
    <n v="3"/>
    <s v="Sano"/>
  </r>
  <r>
    <n v="51"/>
    <s v="Femmina"/>
    <s v="Angina tipica"/>
    <n v="130"/>
    <n v="305"/>
    <s v="≤120 mg/dl"/>
    <n v="1"/>
    <n v="142"/>
    <s v="Sì"/>
    <n v="1.2"/>
    <n v="1"/>
    <n v="0"/>
    <n v="3"/>
    <s v="Sano"/>
  </r>
  <r>
    <n v="51"/>
    <s v="Maschio"/>
    <s v="Angina tipica"/>
    <n v="140"/>
    <n v="299"/>
    <s v="≤120 mg/dl"/>
    <n v="1"/>
    <n v="173"/>
    <s v="Sì"/>
    <n v="1.6"/>
    <n v="2"/>
    <n v="0"/>
    <n v="3"/>
    <s v="Sano"/>
  </r>
  <r>
    <n v="51"/>
    <s v="Maschio"/>
    <s v="Angina tipica"/>
    <n v="140"/>
    <n v="298"/>
    <s v="≤120 mg/dl"/>
    <n v="1"/>
    <n v="122"/>
    <s v="Sì"/>
    <n v="4.2"/>
    <n v="1"/>
    <n v="3"/>
    <n v="3"/>
    <s v="Sano"/>
  </r>
  <r>
    <n v="52"/>
    <s v="Maschio"/>
    <s v="Angina tipica"/>
    <n v="128"/>
    <n v="255"/>
    <s v="≤120 mg/dl"/>
    <n v="1"/>
    <n v="161"/>
    <s v="Sì"/>
    <n v="0"/>
    <n v="2"/>
    <n v="1"/>
    <n v="3"/>
    <s v="Sano"/>
  </r>
  <r>
    <n v="52"/>
    <s v="Maschio"/>
    <s v="Angina tipica"/>
    <n v="112"/>
    <n v="230"/>
    <s v="≤120 mg/dl"/>
    <n v="1"/>
    <n v="160"/>
    <s v="No"/>
    <n v="0"/>
    <n v="2"/>
    <n v="1"/>
    <n v="2"/>
    <s v="Sano"/>
  </r>
  <r>
    <n v="52"/>
    <s v="Maschio"/>
    <s v="Angina tipica"/>
    <n v="125"/>
    <n v="212"/>
    <s v="≤120 mg/dl"/>
    <n v="1"/>
    <n v="168"/>
    <s v="No"/>
    <n v="1"/>
    <n v="2"/>
    <n v="2"/>
    <n v="3"/>
    <s v="Sano"/>
  </r>
  <r>
    <n v="52"/>
    <s v="Maschio"/>
    <s v="Angina tipica"/>
    <n v="128"/>
    <n v="204"/>
    <s v="&gt;120 mg/dl"/>
    <n v="1"/>
    <n v="156"/>
    <s v="Sì"/>
    <n v="1"/>
    <n v="1"/>
    <n v="0"/>
    <n v="0"/>
    <s v="Sano"/>
  </r>
  <r>
    <n v="53"/>
    <s v="Maschio"/>
    <s v="Angina tipica"/>
    <n v="140"/>
    <n v="203"/>
    <s v="&gt;120 mg/dl"/>
    <n v="0"/>
    <n v="155"/>
    <s v="Sì"/>
    <n v="3.1"/>
    <n v="0"/>
    <n v="0"/>
    <n v="3"/>
    <s v="Sano"/>
  </r>
  <r>
    <n v="53"/>
    <s v="Maschio"/>
    <s v="Angina tipica"/>
    <n v="123"/>
    <n v="282"/>
    <s v="≤120 mg/dl"/>
    <n v="1"/>
    <n v="95"/>
    <s v="Sì"/>
    <n v="2"/>
    <n v="1"/>
    <n v="2"/>
    <n v="3"/>
    <s v="Sano"/>
  </r>
  <r>
    <n v="54"/>
    <s v="Maschio"/>
    <s v="Angina tipica"/>
    <n v="124"/>
    <n v="266"/>
    <s v="≤120 mg/dl"/>
    <n v="0"/>
    <n v="109"/>
    <s v="Sì"/>
    <n v="2.2000000000000002"/>
    <n v="1"/>
    <n v="1"/>
    <n v="3"/>
    <s v="Sano"/>
  </r>
  <r>
    <n v="54"/>
    <s v="Maschio"/>
    <s v="Angina tipica"/>
    <n v="120"/>
    <n v="188"/>
    <s v="≤120 mg/dl"/>
    <n v="1"/>
    <n v="113"/>
    <s v="No"/>
    <n v="1.4"/>
    <n v="1"/>
    <n v="1"/>
    <n v="3"/>
    <s v="Sano"/>
  </r>
  <r>
    <n v="54"/>
    <s v="Maschio"/>
    <s v="Angina tipica"/>
    <n v="110"/>
    <n v="239"/>
    <s v="≤120 mg/dl"/>
    <n v="1"/>
    <n v="126"/>
    <s v="Sì"/>
    <n v="2.8"/>
    <n v="1"/>
    <n v="1"/>
    <n v="3"/>
    <s v="Sano"/>
  </r>
  <r>
    <n v="54"/>
    <s v="Maschio"/>
    <s v="Angina atipica"/>
    <n v="192"/>
    <n v="283"/>
    <s v="≤120 mg/dl"/>
    <n v="0"/>
    <n v="195"/>
    <s v="No"/>
    <n v="0"/>
    <n v="2"/>
    <n v="1"/>
    <n v="3"/>
    <s v="Sano"/>
  </r>
  <r>
    <n v="54"/>
    <s v="Maschio"/>
    <s v="Angina tipica"/>
    <n v="110"/>
    <n v="206"/>
    <s v="≤120 mg/dl"/>
    <n v="0"/>
    <n v="108"/>
    <s v="Sì"/>
    <n v="0"/>
    <n v="1"/>
    <n v="1"/>
    <n v="2"/>
    <s v="Sano"/>
  </r>
  <r>
    <n v="54"/>
    <s v="Maschio"/>
    <s v="Angina tipica"/>
    <n v="122"/>
    <n v="286"/>
    <s v="≤120 mg/dl"/>
    <n v="0"/>
    <n v="116"/>
    <s v="Sì"/>
    <n v="3.2"/>
    <n v="1"/>
    <n v="2"/>
    <n v="2"/>
    <s v="Sano"/>
  </r>
  <r>
    <n v="55"/>
    <s v="Maschio"/>
    <s v="Angina tipica"/>
    <n v="132"/>
    <n v="353"/>
    <s v="≤120 mg/dl"/>
    <n v="1"/>
    <n v="132"/>
    <s v="Sì"/>
    <n v="1.2"/>
    <n v="1"/>
    <n v="1"/>
    <n v="3"/>
    <s v="Sano"/>
  </r>
  <r>
    <n v="55"/>
    <s v="Maschio"/>
    <s v="Angina tipica"/>
    <n v="140"/>
    <n v="217"/>
    <s v="≤120 mg/dl"/>
    <n v="1"/>
    <n v="111"/>
    <s v="Sì"/>
    <n v="5.6"/>
    <n v="0"/>
    <n v="0"/>
    <n v="3"/>
    <s v="Sano"/>
  </r>
  <r>
    <n v="55"/>
    <s v="Maschio"/>
    <s v="Angina tipica"/>
    <n v="160"/>
    <n v="289"/>
    <s v="≤120 mg/dl"/>
    <n v="0"/>
    <n v="145"/>
    <s v="Sì"/>
    <n v="0.8"/>
    <n v="1"/>
    <n v="1"/>
    <n v="3"/>
    <s v="Sano"/>
  </r>
  <r>
    <n v="55"/>
    <s v="Femmina"/>
    <s v="Angina tipica"/>
    <n v="180"/>
    <n v="327"/>
    <s v="≤120 mg/dl"/>
    <n v="2"/>
    <n v="117"/>
    <s v="Sì"/>
    <n v="3.4"/>
    <n v="1"/>
    <n v="0"/>
    <n v="2"/>
    <s v="Sano"/>
  </r>
  <r>
    <n v="55"/>
    <s v="Femmina"/>
    <s v="Angina tipica"/>
    <n v="128"/>
    <n v="205"/>
    <s v="≤120 mg/dl"/>
    <n v="2"/>
    <n v="130"/>
    <s v="Sì"/>
    <n v="2"/>
    <n v="1"/>
    <n v="1"/>
    <n v="3"/>
    <s v="Sano"/>
  </r>
  <r>
    <n v="56"/>
    <s v="Maschio"/>
    <s v="Dolore non anginoso"/>
    <n v="130"/>
    <n v="256"/>
    <s v="&gt;120 mg/dl"/>
    <n v="0"/>
    <n v="142"/>
    <s v="Sì"/>
    <n v="0.6"/>
    <n v="1"/>
    <n v="1"/>
    <n v="1"/>
    <s v="Sano"/>
  </r>
  <r>
    <n v="56"/>
    <s v="Maschio"/>
    <s v="Angina tipica"/>
    <n v="125"/>
    <n v="249"/>
    <s v="&gt;120 mg/dl"/>
    <n v="0"/>
    <n v="144"/>
    <s v="Sì"/>
    <n v="1.2"/>
    <n v="1"/>
    <n v="1"/>
    <n v="2"/>
    <s v="Sano"/>
  </r>
  <r>
    <n v="56"/>
    <s v="Femmina"/>
    <s v="Angina tipica"/>
    <n v="200"/>
    <n v="288"/>
    <s v="&gt;120 mg/dl"/>
    <n v="0"/>
    <n v="133"/>
    <s v="Sì"/>
    <n v="4"/>
    <n v="0"/>
    <n v="2"/>
    <n v="3"/>
    <s v="Sano"/>
  </r>
  <r>
    <n v="56"/>
    <s v="Maschio"/>
    <s v="Angina tipica"/>
    <n v="132"/>
    <n v="184"/>
    <s v="≤120 mg/dl"/>
    <n v="0"/>
    <n v="105"/>
    <s v="Sì"/>
    <n v="2.1"/>
    <n v="1"/>
    <n v="1"/>
    <n v="1"/>
    <s v="Sano"/>
  </r>
  <r>
    <n v="56"/>
    <s v="Femmina"/>
    <s v="Angina tipica"/>
    <n v="134"/>
    <n v="409"/>
    <s v="≤120 mg/dl"/>
    <n v="0"/>
    <n v="150"/>
    <s v="Sì"/>
    <n v="1.9"/>
    <n v="1"/>
    <n v="2"/>
    <n v="3"/>
    <s v="Sano"/>
  </r>
  <r>
    <n v="56"/>
    <s v="Maschio"/>
    <s v="Angina tipica"/>
    <n v="130"/>
    <n v="283"/>
    <s v="&gt;120 mg/dl"/>
    <n v="0"/>
    <n v="103"/>
    <s v="Sì"/>
    <n v="1.6"/>
    <n v="0"/>
    <n v="0"/>
    <n v="3"/>
    <s v="Sano"/>
  </r>
  <r>
    <n v="57"/>
    <s v="Maschio"/>
    <s v="Angina tipica"/>
    <n v="150"/>
    <n v="276"/>
    <s v="≤120 mg/dl"/>
    <n v="0"/>
    <n v="112"/>
    <s v="Sì"/>
    <n v="0.6"/>
    <n v="1"/>
    <n v="1"/>
    <n v="1"/>
    <s v="Sano"/>
  </r>
  <r>
    <n v="57"/>
    <s v="Maschio"/>
    <s v="Dolore non anginoso"/>
    <n v="128"/>
    <n v="229"/>
    <s v="≤120 mg/dl"/>
    <n v="0"/>
    <n v="150"/>
    <s v="No"/>
    <n v="0.4"/>
    <n v="1"/>
    <n v="1"/>
    <n v="3"/>
    <s v="Sano"/>
  </r>
  <r>
    <n v="57"/>
    <s v="Maschio"/>
    <s v="Angina tipica"/>
    <n v="165"/>
    <n v="289"/>
    <s v="&gt;120 mg/dl"/>
    <n v="0"/>
    <n v="124"/>
    <s v="No"/>
    <n v="1"/>
    <n v="1"/>
    <n v="3"/>
    <n v="3"/>
    <s v="Sano"/>
  </r>
  <r>
    <n v="57"/>
    <s v="Maschio"/>
    <s v="Angina tipica"/>
    <n v="152"/>
    <n v="274"/>
    <s v="≤120 mg/dl"/>
    <n v="1"/>
    <n v="88"/>
    <s v="Sì"/>
    <n v="1.2"/>
    <n v="1"/>
    <n v="1"/>
    <n v="3"/>
    <s v="Sano"/>
  </r>
  <r>
    <n v="57"/>
    <s v="Maschio"/>
    <s v="Angina atipica"/>
    <n v="124"/>
    <n v="261"/>
    <s v="≤120 mg/dl"/>
    <n v="1"/>
    <n v="141"/>
    <s v="No"/>
    <n v="0.3"/>
    <n v="2"/>
    <n v="0"/>
    <n v="3"/>
    <s v="Sano"/>
  </r>
  <r>
    <n v="57"/>
    <s v="Maschio"/>
    <s v="Angina atipica"/>
    <n v="154"/>
    <n v="232"/>
    <s v="≤120 mg/dl"/>
    <n v="0"/>
    <n v="164"/>
    <s v="No"/>
    <n v="0"/>
    <n v="2"/>
    <n v="1"/>
    <n v="2"/>
    <s v="Sano"/>
  </r>
  <r>
    <n v="57"/>
    <s v="Maschio"/>
    <s v="Angina tipica"/>
    <n v="110"/>
    <n v="335"/>
    <s v="≤120 mg/dl"/>
    <n v="1"/>
    <n v="143"/>
    <s v="Sì"/>
    <n v="3"/>
    <n v="1"/>
    <n v="1"/>
    <n v="3"/>
    <s v="Sano"/>
  </r>
  <r>
    <n v="57"/>
    <s v="Femmina"/>
    <s v="Angina tipica"/>
    <n v="140"/>
    <n v="241"/>
    <s v="≤120 mg/dl"/>
    <n v="1"/>
    <n v="123"/>
    <s v="Sì"/>
    <n v="0.2"/>
    <n v="1"/>
    <n v="0"/>
    <n v="3"/>
    <s v="Sano"/>
  </r>
  <r>
    <n v="57"/>
    <s v="Maschio"/>
    <s v="Angina tipica"/>
    <n v="130"/>
    <n v="131"/>
    <s v="≤120 mg/dl"/>
    <n v="1"/>
    <n v="115"/>
    <s v="Sì"/>
    <n v="1.2"/>
    <n v="1"/>
    <n v="1"/>
    <n v="3"/>
    <s v="Sano"/>
  </r>
  <r>
    <n v="57"/>
    <s v="Femmina"/>
    <s v="Angina atipica"/>
    <n v="130"/>
    <n v="236"/>
    <s v="≤120 mg/dl"/>
    <n v="0"/>
    <n v="174"/>
    <s v="No"/>
    <n v="0"/>
    <n v="1"/>
    <n v="1"/>
    <n v="2"/>
    <s v="Sano"/>
  </r>
  <r>
    <n v="58"/>
    <s v="Maschio"/>
    <s v="Angina atipica"/>
    <n v="120"/>
    <n v="284"/>
    <s v="≤120 mg/dl"/>
    <n v="0"/>
    <n v="160"/>
    <s v="No"/>
    <n v="1.8"/>
    <n v="1"/>
    <n v="0"/>
    <n v="2"/>
    <s v="Sano"/>
  </r>
  <r>
    <n v="58"/>
    <s v="Maschio"/>
    <s v="Dolore non anginoso"/>
    <n v="132"/>
    <n v="224"/>
    <s v="≤120 mg/dl"/>
    <n v="0"/>
    <n v="173"/>
    <s v="No"/>
    <n v="3.2"/>
    <n v="2"/>
    <n v="2"/>
    <n v="3"/>
    <s v="Sano"/>
  </r>
  <r>
    <n v="58"/>
    <s v="Maschio"/>
    <s v="Dolore non anginoso"/>
    <n v="112"/>
    <n v="230"/>
    <s v="≤120 mg/dl"/>
    <n v="0"/>
    <n v="165"/>
    <s v="No"/>
    <n v="2.5"/>
    <n v="1"/>
    <n v="1"/>
    <n v="3"/>
    <s v="Sano"/>
  </r>
  <r>
    <n v="58"/>
    <s v="Maschio"/>
    <s v="Angina tipica"/>
    <n v="128"/>
    <n v="216"/>
    <s v="≤120 mg/dl"/>
    <n v="0"/>
    <n v="131"/>
    <s v="Sì"/>
    <n v="2.2000000000000002"/>
    <n v="1"/>
    <n v="3"/>
    <n v="3"/>
    <s v="Sano"/>
  </r>
  <r>
    <n v="58"/>
    <s v="Maschio"/>
    <s v="Angina tipica"/>
    <n v="150"/>
    <n v="270"/>
    <s v="≤120 mg/dl"/>
    <n v="0"/>
    <n v="111"/>
    <s v="Sì"/>
    <n v="0.8"/>
    <n v="2"/>
    <n v="0"/>
    <n v="3"/>
    <s v="Sano"/>
  </r>
  <r>
    <n v="58"/>
    <s v="Maschio"/>
    <s v="Angina tipica"/>
    <n v="125"/>
    <n v="300"/>
    <s v="≤120 mg/dl"/>
    <n v="0"/>
    <n v="171"/>
    <s v="No"/>
    <n v="0"/>
    <n v="2"/>
    <n v="2"/>
    <n v="3"/>
    <s v="Sano"/>
  </r>
  <r>
    <n v="58"/>
    <s v="Maschio"/>
    <s v="Angina tipica"/>
    <n v="128"/>
    <n v="259"/>
    <s v="≤120 mg/dl"/>
    <n v="0"/>
    <n v="130"/>
    <s v="Sì"/>
    <n v="3"/>
    <n v="1"/>
    <n v="2"/>
    <n v="3"/>
    <s v="Sano"/>
  </r>
  <r>
    <n v="58"/>
    <s v="Maschio"/>
    <s v="Angina tipica"/>
    <n v="100"/>
    <n v="234"/>
    <s v="≤120 mg/dl"/>
    <n v="1"/>
    <n v="156"/>
    <s v="No"/>
    <n v="0.1"/>
    <n v="2"/>
    <n v="1"/>
    <n v="3"/>
    <s v="Sano"/>
  </r>
  <r>
    <n v="58"/>
    <s v="Maschio"/>
    <s v="Angina tipica"/>
    <n v="146"/>
    <n v="218"/>
    <s v="≤120 mg/dl"/>
    <n v="1"/>
    <n v="105"/>
    <s v="No"/>
    <n v="2"/>
    <n v="1"/>
    <n v="1"/>
    <n v="3"/>
    <s v="Sano"/>
  </r>
  <r>
    <n v="58"/>
    <s v="Femmina"/>
    <s v="Angina atipica"/>
    <n v="136"/>
    <n v="319"/>
    <s v="&gt;120 mg/dl"/>
    <n v="0"/>
    <n v="152"/>
    <s v="No"/>
    <n v="0"/>
    <n v="2"/>
    <n v="2"/>
    <n v="2"/>
    <s v="Sano"/>
  </r>
  <r>
    <n v="58"/>
    <s v="Maschio"/>
    <s v="Angina tipica"/>
    <n v="114"/>
    <n v="318"/>
    <s v="≤120 mg/dl"/>
    <n v="2"/>
    <n v="140"/>
    <s v="No"/>
    <n v="4.4000000000000004"/>
    <n v="0"/>
    <n v="3"/>
    <n v="1"/>
    <s v="Sano"/>
  </r>
  <r>
    <n v="58"/>
    <s v="Femmina"/>
    <s v="Angina tipica"/>
    <n v="170"/>
    <n v="225"/>
    <s v="&gt;120 mg/dl"/>
    <n v="0"/>
    <n v="146"/>
    <s v="Sì"/>
    <n v="2.8"/>
    <n v="1"/>
    <n v="2"/>
    <n v="1"/>
    <s v="Sano"/>
  </r>
  <r>
    <n v="59"/>
    <s v="Maschio"/>
    <s v="Angina tipica"/>
    <n v="170"/>
    <n v="326"/>
    <s v="≤120 mg/dl"/>
    <n v="0"/>
    <n v="140"/>
    <s v="Sì"/>
    <n v="3.4"/>
    <n v="0"/>
    <n v="0"/>
    <n v="3"/>
    <s v="Sano"/>
  </r>
  <r>
    <n v="59"/>
    <s v="Maschio"/>
    <s v="Angina tipica"/>
    <n v="110"/>
    <n v="239"/>
    <s v="≤120 mg/dl"/>
    <n v="0"/>
    <n v="142"/>
    <s v="Sì"/>
    <n v="1.2"/>
    <n v="1"/>
    <n v="1"/>
    <n v="3"/>
    <s v="Sano"/>
  </r>
  <r>
    <n v="59"/>
    <s v="Maschio"/>
    <s v="Angina tipica"/>
    <n v="140"/>
    <n v="177"/>
    <s v="≤120 mg/dl"/>
    <n v="1"/>
    <n v="162"/>
    <s v="Sì"/>
    <n v="0"/>
    <n v="2"/>
    <n v="1"/>
    <n v="3"/>
    <s v="Sano"/>
  </r>
  <r>
    <n v="59"/>
    <s v="Maschio"/>
    <s v="Asintomatico"/>
    <n v="170"/>
    <n v="288"/>
    <s v="≤120 mg/dl"/>
    <n v="0"/>
    <n v="159"/>
    <s v="No"/>
    <n v="0.2"/>
    <n v="1"/>
    <n v="0"/>
    <n v="3"/>
    <s v="Sano"/>
  </r>
  <r>
    <n v="59"/>
    <s v="Femmina"/>
    <s v="Angina tipica"/>
    <n v="174"/>
    <n v="249"/>
    <s v="≤120 mg/dl"/>
    <n v="1"/>
    <n v="143"/>
    <s v="Sì"/>
    <n v="0"/>
    <n v="1"/>
    <n v="0"/>
    <n v="2"/>
    <s v="Sano"/>
  </r>
  <r>
    <n v="59"/>
    <s v="Maschio"/>
    <s v="Asintomatico"/>
    <n v="160"/>
    <n v="273"/>
    <s v="≤120 mg/dl"/>
    <n v="0"/>
    <n v="125"/>
    <s v="No"/>
    <n v="0"/>
    <n v="2"/>
    <n v="0"/>
    <n v="2"/>
    <s v="Sano"/>
  </r>
  <r>
    <n v="59"/>
    <s v="Maschio"/>
    <s v="Dolore non anginoso"/>
    <n v="126"/>
    <n v="218"/>
    <s v="&gt;120 mg/dl"/>
    <n v="1"/>
    <n v="134"/>
    <s v="No"/>
    <n v="2.2000000000000002"/>
    <n v="1"/>
    <n v="1"/>
    <n v="1"/>
    <s v="Sano"/>
  </r>
  <r>
    <n v="59"/>
    <s v="Maschio"/>
    <s v="Asintomatico"/>
    <n v="134"/>
    <n v="204"/>
    <s v="≤120 mg/dl"/>
    <n v="1"/>
    <n v="162"/>
    <s v="No"/>
    <n v="0.8"/>
    <n v="2"/>
    <n v="2"/>
    <n v="2"/>
    <s v="Sano"/>
  </r>
  <r>
    <n v="59"/>
    <s v="Maschio"/>
    <s v="Angina tipica"/>
    <n v="164"/>
    <n v="176"/>
    <s v="&gt;120 mg/dl"/>
    <n v="0"/>
    <n v="90"/>
    <s v="No"/>
    <n v="1"/>
    <n v="1"/>
    <n v="2"/>
    <n v="1"/>
    <s v="Sano"/>
  </r>
  <r>
    <n v="60"/>
    <s v="Maschio"/>
    <s v="Angina tipica"/>
    <n v="130"/>
    <n v="206"/>
    <s v="≤120 mg/dl"/>
    <n v="0"/>
    <n v="132"/>
    <s v="Sì"/>
    <n v="2.4"/>
    <n v="1"/>
    <n v="2"/>
    <n v="3"/>
    <s v="Sano"/>
  </r>
  <r>
    <n v="60"/>
    <s v="Maschio"/>
    <s v="Angina tipica"/>
    <n v="117"/>
    <n v="230"/>
    <s v="&gt;120 mg/dl"/>
    <n v="1"/>
    <n v="160"/>
    <s v="Sì"/>
    <n v="1.4"/>
    <n v="2"/>
    <n v="2"/>
    <n v="3"/>
    <s v="Sano"/>
  </r>
  <r>
    <n v="60"/>
    <s v="Maschio"/>
    <s v="Angina tipica"/>
    <n v="130"/>
    <n v="253"/>
    <s v="≤120 mg/dl"/>
    <n v="1"/>
    <n v="144"/>
    <s v="Sì"/>
    <n v="1.4"/>
    <n v="2"/>
    <n v="1"/>
    <n v="3"/>
    <s v="Sano"/>
  </r>
  <r>
    <n v="60"/>
    <s v="Maschio"/>
    <s v="Angina tipica"/>
    <n v="145"/>
    <n v="282"/>
    <s v="≤120 mg/dl"/>
    <n v="0"/>
    <n v="142"/>
    <s v="Sì"/>
    <n v="2.8"/>
    <n v="1"/>
    <n v="2"/>
    <n v="3"/>
    <s v="Sano"/>
  </r>
  <r>
    <n v="60"/>
    <s v="Maschio"/>
    <s v="Dolore non anginoso"/>
    <n v="140"/>
    <n v="185"/>
    <s v="≤120 mg/dl"/>
    <n v="0"/>
    <n v="155"/>
    <s v="No"/>
    <n v="3"/>
    <n v="1"/>
    <n v="0"/>
    <n v="2"/>
    <s v="Sano"/>
  </r>
  <r>
    <n v="60"/>
    <s v="Maschio"/>
    <s v="Angina tipica"/>
    <n v="125"/>
    <n v="258"/>
    <s v="≤120 mg/dl"/>
    <n v="0"/>
    <n v="141"/>
    <s v="Sì"/>
    <n v="2.8"/>
    <n v="1"/>
    <n v="1"/>
    <n v="3"/>
    <s v="Sano"/>
  </r>
  <r>
    <n v="60"/>
    <s v="Femmina"/>
    <s v="Angina tipica"/>
    <n v="150"/>
    <n v="258"/>
    <s v="≤120 mg/dl"/>
    <n v="0"/>
    <n v="157"/>
    <s v="No"/>
    <n v="2.6"/>
    <n v="1"/>
    <n v="2"/>
    <n v="3"/>
    <s v="Sano"/>
  </r>
  <r>
    <n v="60"/>
    <s v="Maschio"/>
    <s v="Angina tipica"/>
    <n v="140"/>
    <n v="293"/>
    <s v="≤120 mg/dl"/>
    <n v="0"/>
    <n v="170"/>
    <s v="No"/>
    <n v="1.2"/>
    <n v="1"/>
    <n v="2"/>
    <n v="3"/>
    <s v="Sano"/>
  </r>
  <r>
    <n v="61"/>
    <s v="Femmina"/>
    <s v="Angina tipica"/>
    <n v="130"/>
    <n v="330"/>
    <s v="≤120 mg/dl"/>
    <n v="0"/>
    <n v="169"/>
    <s v="No"/>
    <n v="0"/>
    <n v="2"/>
    <n v="0"/>
    <n v="2"/>
    <s v="Sano"/>
  </r>
  <r>
    <n v="61"/>
    <s v="Maschio"/>
    <s v="Angina tipica"/>
    <n v="120"/>
    <n v="260"/>
    <s v="≤120 mg/dl"/>
    <n v="1"/>
    <n v="140"/>
    <s v="Sì"/>
    <n v="3.6"/>
    <n v="1"/>
    <n v="1"/>
    <n v="3"/>
    <s v="Sano"/>
  </r>
  <r>
    <n v="61"/>
    <s v="Femmina"/>
    <s v="Angina tipica"/>
    <n v="145"/>
    <n v="307"/>
    <s v="≤120 mg/dl"/>
    <n v="0"/>
    <n v="146"/>
    <s v="Sì"/>
    <n v="1"/>
    <n v="1"/>
    <n v="0"/>
    <n v="3"/>
    <s v="Sano"/>
  </r>
  <r>
    <n v="61"/>
    <s v="Maschio"/>
    <s v="Asintomatico"/>
    <n v="134"/>
    <n v="234"/>
    <s v="≤120 mg/dl"/>
    <n v="1"/>
    <n v="145"/>
    <s v="No"/>
    <n v="2.6"/>
    <n v="1"/>
    <n v="2"/>
    <n v="2"/>
    <s v="Sano"/>
  </r>
  <r>
    <n v="61"/>
    <s v="Maschio"/>
    <s v="Angina tipica"/>
    <n v="138"/>
    <n v="166"/>
    <s v="≤120 mg/dl"/>
    <n v="0"/>
    <n v="125"/>
    <s v="Sì"/>
    <n v="3.6"/>
    <n v="1"/>
    <n v="1"/>
    <n v="2"/>
    <s v="Sano"/>
  </r>
  <r>
    <n v="61"/>
    <s v="Maschio"/>
    <s v="Angina tipica"/>
    <n v="140"/>
    <n v="207"/>
    <s v="≤120 mg/dl"/>
    <n v="0"/>
    <n v="138"/>
    <s v="Sì"/>
    <n v="1.9"/>
    <n v="2"/>
    <n v="1"/>
    <n v="3"/>
    <s v="Sano"/>
  </r>
  <r>
    <n v="61"/>
    <s v="Maschio"/>
    <s v="Angina tipica"/>
    <n v="148"/>
    <n v="203"/>
    <s v="≤120 mg/dl"/>
    <n v="1"/>
    <n v="161"/>
    <s v="No"/>
    <n v="0"/>
    <n v="2"/>
    <n v="1"/>
    <n v="3"/>
    <s v="Sano"/>
  </r>
  <r>
    <n v="62"/>
    <s v="Femmina"/>
    <s v="Angina tipica"/>
    <n v="140"/>
    <n v="268"/>
    <s v="≤120 mg/dl"/>
    <n v="0"/>
    <n v="160"/>
    <s v="No"/>
    <n v="3.6"/>
    <n v="0"/>
    <n v="2"/>
    <n v="2"/>
    <s v="Sano"/>
  </r>
  <r>
    <n v="62"/>
    <s v="Maschio"/>
    <s v="Angina tipica"/>
    <n v="120"/>
    <n v="267"/>
    <s v="≤120 mg/dl"/>
    <n v="1"/>
    <n v="99"/>
    <s v="Sì"/>
    <n v="1.8"/>
    <n v="1"/>
    <n v="2"/>
    <n v="3"/>
    <s v="Sano"/>
  </r>
  <r>
    <n v="62"/>
    <s v="Femmina"/>
    <s v="Angina tipica"/>
    <n v="160"/>
    <n v="164"/>
    <s v="≤120 mg/dl"/>
    <n v="0"/>
    <n v="145"/>
    <s v="No"/>
    <n v="6.2"/>
    <n v="0"/>
    <n v="3"/>
    <n v="3"/>
    <s v="Sano"/>
  </r>
  <r>
    <n v="62"/>
    <s v="Femmina"/>
    <s v="Dolore non anginoso"/>
    <n v="130"/>
    <n v="263"/>
    <s v="≤120 mg/dl"/>
    <n v="1"/>
    <n v="97"/>
    <s v="No"/>
    <n v="1.2"/>
    <n v="1"/>
    <n v="1"/>
    <n v="3"/>
    <s v="Sano"/>
  </r>
  <r>
    <n v="62"/>
    <s v="Maschio"/>
    <s v="Angina atipica"/>
    <n v="120"/>
    <n v="281"/>
    <s v="≤120 mg/dl"/>
    <n v="0"/>
    <n v="103"/>
    <s v="No"/>
    <n v="1.4"/>
    <n v="1"/>
    <n v="1"/>
    <n v="3"/>
    <s v="Sano"/>
  </r>
  <r>
    <n v="62"/>
    <s v="Femmina"/>
    <s v="Angina tipica"/>
    <n v="138"/>
    <n v="294"/>
    <s v="&gt;120 mg/dl"/>
    <n v="1"/>
    <n v="106"/>
    <s v="No"/>
    <n v="1.9"/>
    <n v="1"/>
    <n v="3"/>
    <n v="2"/>
    <s v="Sano"/>
  </r>
  <r>
    <n v="62"/>
    <s v="Femmina"/>
    <s v="Angina tipica"/>
    <n v="150"/>
    <n v="244"/>
    <s v="≤120 mg/dl"/>
    <n v="1"/>
    <n v="154"/>
    <s v="Sì"/>
    <n v="1.4"/>
    <n v="1"/>
    <n v="0"/>
    <n v="2"/>
    <s v="Sano"/>
  </r>
  <r>
    <n v="63"/>
    <s v="Maschio"/>
    <s v="Angina tipica"/>
    <n v="130"/>
    <n v="254"/>
    <s v="≤120 mg/dl"/>
    <n v="0"/>
    <n v="147"/>
    <s v="No"/>
    <n v="1.4"/>
    <n v="1"/>
    <n v="1"/>
    <n v="3"/>
    <s v="Sano"/>
  </r>
  <r>
    <n v="63"/>
    <s v="Maschio"/>
    <s v="Angina tipica"/>
    <n v="130"/>
    <n v="330"/>
    <s v="&gt;120 mg/dl"/>
    <n v="0"/>
    <n v="132"/>
    <s v="Sì"/>
    <n v="1.8"/>
    <n v="2"/>
    <n v="3"/>
    <n v="3"/>
    <s v="Sano"/>
  </r>
  <r>
    <n v="63"/>
    <s v="Femmina"/>
    <s v="Angina tipica"/>
    <n v="150"/>
    <n v="407"/>
    <s v="≤120 mg/dl"/>
    <n v="0"/>
    <n v="154"/>
    <s v="No"/>
    <n v="4"/>
    <n v="1"/>
    <n v="3"/>
    <n v="3"/>
    <s v="Sano"/>
  </r>
  <r>
    <n v="63"/>
    <s v="Femmina"/>
    <s v="Angina tipica"/>
    <n v="108"/>
    <n v="269"/>
    <s v="≤120 mg/dl"/>
    <n v="1"/>
    <n v="169"/>
    <s v="Sì"/>
    <n v="1.8"/>
    <n v="1"/>
    <n v="2"/>
    <n v="2"/>
    <s v="Sano"/>
  </r>
  <r>
    <n v="63"/>
    <s v="Maschio"/>
    <s v="Angina tipica"/>
    <n v="140"/>
    <n v="187"/>
    <s v="≤120 mg/dl"/>
    <n v="0"/>
    <n v="144"/>
    <s v="Sì"/>
    <n v="4"/>
    <n v="2"/>
    <n v="2"/>
    <n v="3"/>
    <s v="Sano"/>
  </r>
  <r>
    <n v="63"/>
    <s v="Femmina"/>
    <s v="Angina tipica"/>
    <n v="124"/>
    <n v="197"/>
    <s v="≤120 mg/dl"/>
    <n v="1"/>
    <n v="136"/>
    <s v="Sì"/>
    <n v="0"/>
    <n v="1"/>
    <n v="0"/>
    <n v="2"/>
    <s v="Sano"/>
  </r>
  <r>
    <n v="64"/>
    <s v="Maschio"/>
    <s v="Dolore non anginoso"/>
    <n v="140"/>
    <n v="335"/>
    <s v="≤120 mg/dl"/>
    <n v="1"/>
    <n v="158"/>
    <s v="No"/>
    <n v="0"/>
    <n v="2"/>
    <n v="0"/>
    <n v="2"/>
    <s v="Sano"/>
  </r>
  <r>
    <n v="64"/>
    <s v="Maschio"/>
    <s v="Dolore non anginoso"/>
    <n v="125"/>
    <n v="309"/>
    <s v="≤120 mg/dl"/>
    <n v="1"/>
    <n v="131"/>
    <s v="Sì"/>
    <n v="1.8"/>
    <n v="1"/>
    <n v="0"/>
    <n v="3"/>
    <s v="Sano"/>
  </r>
  <r>
    <n v="64"/>
    <s v="Maschio"/>
    <s v="Angina tipica"/>
    <n v="120"/>
    <n v="246"/>
    <s v="≤120 mg/dl"/>
    <n v="0"/>
    <n v="96"/>
    <s v="Sì"/>
    <n v="2.2000000000000002"/>
    <n v="0"/>
    <n v="1"/>
    <n v="2"/>
    <s v="Sano"/>
  </r>
  <r>
    <n v="64"/>
    <s v="Maschio"/>
    <s v="Angina tipica"/>
    <n v="145"/>
    <n v="212"/>
    <s v="≤120 mg/dl"/>
    <n v="0"/>
    <n v="132"/>
    <s v="No"/>
    <n v="2"/>
    <n v="1"/>
    <n v="2"/>
    <n v="1"/>
    <s v="Sano"/>
  </r>
  <r>
    <n v="65"/>
    <s v="Femmina"/>
    <s v="Angina tipica"/>
    <n v="150"/>
    <n v="225"/>
    <s v="≤120 mg/dl"/>
    <n v="0"/>
    <n v="114"/>
    <s v="No"/>
    <n v="1"/>
    <n v="1"/>
    <n v="3"/>
    <n v="3"/>
    <s v="Sano"/>
  </r>
  <r>
    <n v="65"/>
    <s v="Maschio"/>
    <s v="Angina tipica"/>
    <n v="110"/>
    <n v="248"/>
    <s v="≤120 mg/dl"/>
    <n v="0"/>
    <n v="158"/>
    <s v="No"/>
    <n v="0.6"/>
    <n v="2"/>
    <n v="2"/>
    <n v="1"/>
    <s v="Sano"/>
  </r>
  <r>
    <n v="65"/>
    <s v="Maschio"/>
    <s v="Angina tipica"/>
    <n v="135"/>
    <n v="254"/>
    <s v="≤120 mg/dl"/>
    <n v="0"/>
    <n v="127"/>
    <s v="No"/>
    <n v="2.8"/>
    <n v="1"/>
    <n v="1"/>
    <n v="3"/>
    <s v="Sano"/>
  </r>
  <r>
    <n v="65"/>
    <s v="Maschio"/>
    <s v="Asintomatico"/>
    <n v="138"/>
    <n v="282"/>
    <s v="&gt;120 mg/dl"/>
    <n v="0"/>
    <n v="174"/>
    <s v="No"/>
    <n v="1.4"/>
    <n v="1"/>
    <n v="1"/>
    <n v="2"/>
    <s v="Sano"/>
  </r>
  <r>
    <n v="66"/>
    <s v="Maschio"/>
    <s v="Angina atipica"/>
    <n v="160"/>
    <n v="246"/>
    <s v="≤120 mg/dl"/>
    <n v="1"/>
    <n v="120"/>
    <s v="Sì"/>
    <n v="0"/>
    <n v="1"/>
    <n v="3"/>
    <n v="1"/>
    <s v="Sano"/>
  </r>
  <r>
    <n v="66"/>
    <s v="Femmina"/>
    <s v="Angina tipica"/>
    <n v="178"/>
    <n v="228"/>
    <s v="&gt;120 mg/dl"/>
    <n v="1"/>
    <n v="165"/>
    <s v="Sì"/>
    <n v="1"/>
    <n v="1"/>
    <n v="2"/>
    <n v="3"/>
    <s v="Sano"/>
  </r>
  <r>
    <n v="66"/>
    <s v="Maschio"/>
    <s v="Angina tipica"/>
    <n v="112"/>
    <n v="212"/>
    <s v="≤120 mg/dl"/>
    <n v="0"/>
    <n v="132"/>
    <s v="Sì"/>
    <n v="0.1"/>
    <n v="2"/>
    <n v="1"/>
    <n v="2"/>
    <s v="Sano"/>
  </r>
  <r>
    <n v="67"/>
    <s v="Maschio"/>
    <s v="Angina tipica"/>
    <n v="160"/>
    <n v="286"/>
    <s v="≤120 mg/dl"/>
    <n v="0"/>
    <n v="108"/>
    <s v="Sì"/>
    <n v="1.5"/>
    <n v="1"/>
    <n v="3"/>
    <n v="2"/>
    <s v="Sano"/>
  </r>
  <r>
    <n v="67"/>
    <s v="Maschio"/>
    <s v="Angina tipica"/>
    <n v="120"/>
    <n v="229"/>
    <s v="≤120 mg/dl"/>
    <n v="0"/>
    <n v="129"/>
    <s v="Sì"/>
    <n v="2.6"/>
    <n v="1"/>
    <n v="2"/>
    <n v="3"/>
    <s v="Sano"/>
  </r>
  <r>
    <n v="67"/>
    <s v="Maschio"/>
    <s v="Angina tipica"/>
    <n v="125"/>
    <n v="254"/>
    <s v="&gt;120 mg/dl"/>
    <n v="1"/>
    <n v="163"/>
    <s v="No"/>
    <n v="0.2"/>
    <n v="1"/>
    <n v="2"/>
    <n v="3"/>
    <s v="Sano"/>
  </r>
  <r>
    <n v="67"/>
    <s v="Maschio"/>
    <s v="Angina tipica"/>
    <n v="100"/>
    <n v="299"/>
    <s v="≤120 mg/dl"/>
    <n v="0"/>
    <n v="125"/>
    <s v="Sì"/>
    <n v="0.9"/>
    <n v="1"/>
    <n v="2"/>
    <n v="2"/>
    <s v="Sano"/>
  </r>
  <r>
    <n v="67"/>
    <s v="Maschio"/>
    <s v="Angina tipica"/>
    <n v="120"/>
    <n v="237"/>
    <s v="≤120 mg/dl"/>
    <n v="1"/>
    <n v="71"/>
    <s v="No"/>
    <n v="1"/>
    <n v="1"/>
    <n v="0"/>
    <n v="2"/>
    <s v="Sano"/>
  </r>
  <r>
    <n v="67"/>
    <s v="Maschio"/>
    <s v="Dolore non anginoso"/>
    <n v="152"/>
    <n v="212"/>
    <s v="≤120 mg/dl"/>
    <n v="0"/>
    <n v="150"/>
    <s v="No"/>
    <n v="0.8"/>
    <n v="1"/>
    <n v="0"/>
    <n v="3"/>
    <s v="Sano"/>
  </r>
  <r>
    <n v="68"/>
    <s v="Maschio"/>
    <s v="Dolore non anginoso"/>
    <n v="180"/>
    <n v="274"/>
    <s v="&gt;120 mg/dl"/>
    <n v="0"/>
    <n v="150"/>
    <s v="Sì"/>
    <n v="1.6"/>
    <n v="1"/>
    <n v="0"/>
    <n v="3"/>
    <s v="Sano"/>
  </r>
  <r>
    <n v="68"/>
    <s v="Maschio"/>
    <s v="Angina tipica"/>
    <n v="144"/>
    <n v="193"/>
    <s v="&gt;120 mg/dl"/>
    <n v="1"/>
    <n v="141"/>
    <s v="No"/>
    <n v="3.4"/>
    <n v="1"/>
    <n v="2"/>
    <n v="3"/>
    <s v="Sano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n v="35"/>
    <x v="0"/>
    <s v="Angina tipica"/>
    <n v="120"/>
    <n v="198"/>
    <s v="≤120 mg/dl"/>
    <n v="1"/>
    <x v="0"/>
    <s v="Sì"/>
    <n v="1.6"/>
    <n v="1"/>
    <n v="0"/>
    <n v="3"/>
    <s v="Sano"/>
  </r>
  <r>
    <n v="35"/>
    <x v="0"/>
    <s v="Angina tipica"/>
    <n v="126"/>
    <n v="282"/>
    <s v="≤120 mg/dl"/>
    <n v="0"/>
    <x v="1"/>
    <s v="Sì"/>
    <n v="0"/>
    <n v="2"/>
    <n v="0"/>
    <n v="3"/>
    <s v="Sano"/>
  </r>
  <r>
    <n v="38"/>
    <x v="0"/>
    <s v="Asintomatico"/>
    <n v="120"/>
    <n v="231"/>
    <s v="≤120 mg/dl"/>
    <n v="1"/>
    <x v="2"/>
    <s v="Sì"/>
    <n v="3.8"/>
    <n v="1"/>
    <n v="0"/>
    <n v="3"/>
    <s v="Sano"/>
  </r>
  <r>
    <n v="39"/>
    <x v="0"/>
    <s v="Angina tipica"/>
    <n v="118"/>
    <n v="219"/>
    <s v="≤120 mg/dl"/>
    <n v="1"/>
    <x v="3"/>
    <s v="No"/>
    <n v="1.2"/>
    <n v="1"/>
    <n v="0"/>
    <n v="3"/>
    <s v="Sano"/>
  </r>
  <r>
    <n v="40"/>
    <x v="0"/>
    <s v="Angina tipica"/>
    <n v="110"/>
    <n v="167"/>
    <s v="≤120 mg/dl"/>
    <n v="0"/>
    <x v="4"/>
    <s v="Sì"/>
    <n v="2"/>
    <n v="1"/>
    <n v="0"/>
    <n v="3"/>
    <s v="Sano"/>
  </r>
  <r>
    <n v="40"/>
    <x v="0"/>
    <s v="Angina tipica"/>
    <n v="152"/>
    <n v="223"/>
    <s v="≤120 mg/dl"/>
    <n v="1"/>
    <x v="5"/>
    <s v="No"/>
    <n v="0"/>
    <n v="2"/>
    <n v="0"/>
    <n v="3"/>
    <s v="Sano"/>
  </r>
  <r>
    <n v="41"/>
    <x v="0"/>
    <s v="Angina tipica"/>
    <n v="110"/>
    <n v="172"/>
    <s v="≤120 mg/dl"/>
    <n v="0"/>
    <x v="6"/>
    <s v="No"/>
    <n v="0"/>
    <n v="2"/>
    <n v="0"/>
    <n v="3"/>
    <s v="Sano"/>
  </r>
  <r>
    <n v="42"/>
    <x v="0"/>
    <s v="Angina tipica"/>
    <n v="136"/>
    <n v="315"/>
    <s v="≤120 mg/dl"/>
    <n v="1"/>
    <x v="7"/>
    <s v="Sì"/>
    <n v="1.8"/>
    <n v="1"/>
    <n v="0"/>
    <n v="1"/>
    <s v="Sano"/>
  </r>
  <r>
    <n v="43"/>
    <x v="0"/>
    <s v="Angina tipica"/>
    <n v="120"/>
    <n v="177"/>
    <s v="≤120 mg/dl"/>
    <n v="0"/>
    <x v="8"/>
    <s v="Sì"/>
    <n v="2.5"/>
    <n v="1"/>
    <n v="0"/>
    <n v="3"/>
    <s v="Sano"/>
  </r>
  <r>
    <n v="43"/>
    <x v="1"/>
    <s v="Angina tipica"/>
    <n v="132"/>
    <n v="341"/>
    <s v="&gt;120 mg/dl"/>
    <n v="0"/>
    <x v="9"/>
    <s v="Sì"/>
    <n v="3"/>
    <n v="1"/>
    <n v="0"/>
    <n v="3"/>
    <s v="Sano"/>
  </r>
  <r>
    <n v="43"/>
    <x v="0"/>
    <s v="Angina tipica"/>
    <n v="132"/>
    <n v="247"/>
    <s v="&gt;120 mg/dl"/>
    <n v="0"/>
    <x v="10"/>
    <s v="Sì"/>
    <n v="0.1"/>
    <n v="1"/>
    <n v="4"/>
    <n v="3"/>
    <s v="Sano"/>
  </r>
  <r>
    <n v="44"/>
    <x v="0"/>
    <s v="Angina tipica"/>
    <n v="112"/>
    <n v="290"/>
    <s v="≤120 mg/dl"/>
    <n v="0"/>
    <x v="11"/>
    <s v="No"/>
    <n v="0"/>
    <n v="2"/>
    <n v="1"/>
    <n v="2"/>
    <s v="Sano"/>
  </r>
  <r>
    <n v="44"/>
    <x v="0"/>
    <s v="Angina tipica"/>
    <n v="110"/>
    <n v="197"/>
    <s v="≤120 mg/dl"/>
    <n v="0"/>
    <x v="12"/>
    <s v="No"/>
    <n v="0"/>
    <n v="2"/>
    <n v="1"/>
    <n v="2"/>
    <s v="Sano"/>
  </r>
  <r>
    <n v="44"/>
    <x v="0"/>
    <s v="Angina tipica"/>
    <n v="120"/>
    <n v="169"/>
    <s v="≤120 mg/dl"/>
    <n v="1"/>
    <x v="13"/>
    <s v="Sì"/>
    <n v="2.8"/>
    <n v="0"/>
    <n v="0"/>
    <n v="1"/>
    <s v="Sano"/>
  </r>
  <r>
    <n v="45"/>
    <x v="0"/>
    <s v="Angina tipica"/>
    <n v="142"/>
    <n v="309"/>
    <s v="≤120 mg/dl"/>
    <n v="0"/>
    <x v="14"/>
    <s v="Sì"/>
    <n v="0"/>
    <n v="1"/>
    <n v="3"/>
    <n v="3"/>
    <s v="Sano"/>
  </r>
  <r>
    <n v="45"/>
    <x v="0"/>
    <s v="Asintomatico"/>
    <n v="110"/>
    <n v="264"/>
    <s v="≤120 mg/dl"/>
    <n v="1"/>
    <x v="15"/>
    <s v="No"/>
    <n v="1.2"/>
    <n v="1"/>
    <n v="0"/>
    <n v="3"/>
    <s v="Sano"/>
  </r>
  <r>
    <n v="46"/>
    <x v="0"/>
    <s v="Dolore non anginoso"/>
    <n v="150"/>
    <n v="231"/>
    <s v="≤120 mg/dl"/>
    <n v="1"/>
    <x v="14"/>
    <s v="No"/>
    <n v="3.6"/>
    <n v="1"/>
    <n v="0"/>
    <n v="2"/>
    <s v="Sano"/>
  </r>
  <r>
    <n v="46"/>
    <x v="0"/>
    <s v="Angina tipica"/>
    <n v="120"/>
    <n v="249"/>
    <s v="≤120 mg/dl"/>
    <n v="0"/>
    <x v="13"/>
    <s v="No"/>
    <n v="0.8"/>
    <n v="2"/>
    <n v="0"/>
    <n v="3"/>
    <s v="Sano"/>
  </r>
  <r>
    <n v="46"/>
    <x v="0"/>
    <s v="Angina tipica"/>
    <n v="140"/>
    <n v="311"/>
    <s v="≤120 mg/dl"/>
    <n v="1"/>
    <x v="8"/>
    <s v="Sì"/>
    <n v="1.8"/>
    <n v="1"/>
    <n v="2"/>
    <n v="3"/>
    <s v="Sano"/>
  </r>
  <r>
    <n v="47"/>
    <x v="0"/>
    <s v="Dolore non anginoso"/>
    <n v="108"/>
    <n v="243"/>
    <s v="≤120 mg/dl"/>
    <n v="1"/>
    <x v="16"/>
    <s v="No"/>
    <n v="0"/>
    <n v="2"/>
    <n v="0"/>
    <n v="2"/>
    <s v="Sano"/>
  </r>
  <r>
    <n v="47"/>
    <x v="0"/>
    <s v="Angina tipica"/>
    <n v="110"/>
    <n v="275"/>
    <s v="≤120 mg/dl"/>
    <n v="0"/>
    <x v="17"/>
    <s v="Sì"/>
    <n v="1"/>
    <n v="1"/>
    <n v="1"/>
    <n v="2"/>
    <s v="Sano"/>
  </r>
  <r>
    <n v="48"/>
    <x v="0"/>
    <s v="Angina atipica"/>
    <n v="110"/>
    <n v="229"/>
    <s v="≤120 mg/dl"/>
    <n v="1"/>
    <x v="18"/>
    <s v="No"/>
    <n v="1"/>
    <n v="0"/>
    <n v="0"/>
    <n v="3"/>
    <s v="Sano"/>
  </r>
  <r>
    <n v="48"/>
    <x v="0"/>
    <s v="Angina tipica"/>
    <n v="130"/>
    <n v="256"/>
    <s v="&gt;120 mg/dl"/>
    <n v="0"/>
    <x v="19"/>
    <s v="Sì"/>
    <n v="0"/>
    <n v="2"/>
    <n v="2"/>
    <n v="3"/>
    <s v="Sano"/>
  </r>
  <r>
    <n v="48"/>
    <x v="0"/>
    <s v="Angina tipica"/>
    <n v="124"/>
    <n v="274"/>
    <s v="≤120 mg/dl"/>
    <n v="0"/>
    <x v="20"/>
    <s v="No"/>
    <n v="0.5"/>
    <n v="1"/>
    <n v="0"/>
    <n v="3"/>
    <s v="Sano"/>
  </r>
  <r>
    <n v="49"/>
    <x v="0"/>
    <s v="Dolore non anginoso"/>
    <n v="120"/>
    <n v="188"/>
    <s v="≤120 mg/dl"/>
    <n v="1"/>
    <x v="21"/>
    <s v="No"/>
    <n v="2"/>
    <n v="1"/>
    <n v="3"/>
    <n v="3"/>
    <s v="Sano"/>
  </r>
  <r>
    <n v="49"/>
    <x v="0"/>
    <s v="Dolore non anginoso"/>
    <n v="118"/>
    <n v="149"/>
    <s v="≤120 mg/dl"/>
    <n v="0"/>
    <x v="22"/>
    <s v="No"/>
    <n v="0.8"/>
    <n v="2"/>
    <n v="3"/>
    <n v="2"/>
    <s v="Sano"/>
  </r>
  <r>
    <n v="50"/>
    <x v="0"/>
    <s v="Angina tipica"/>
    <n v="150"/>
    <n v="243"/>
    <s v="≤120 mg/dl"/>
    <n v="0"/>
    <x v="23"/>
    <s v="No"/>
    <n v="2.6"/>
    <n v="1"/>
    <n v="0"/>
    <n v="3"/>
    <s v="Sano"/>
  </r>
  <r>
    <n v="50"/>
    <x v="0"/>
    <s v="Dolore non anginoso"/>
    <n v="140"/>
    <n v="233"/>
    <s v="≤120 mg/dl"/>
    <n v="1"/>
    <x v="24"/>
    <s v="No"/>
    <n v="0.6"/>
    <n v="1"/>
    <n v="1"/>
    <n v="3"/>
    <s v="Sano"/>
  </r>
  <r>
    <n v="50"/>
    <x v="0"/>
    <s v="Angina tipica"/>
    <n v="144"/>
    <n v="200"/>
    <s v="≤120 mg/dl"/>
    <n v="0"/>
    <x v="22"/>
    <s v="Sì"/>
    <n v="0.9"/>
    <n v="1"/>
    <n v="0"/>
    <n v="3"/>
    <s v="Sano"/>
  </r>
  <r>
    <n v="51"/>
    <x v="1"/>
    <s v="Angina tipica"/>
    <n v="130"/>
    <n v="305"/>
    <s v="≤120 mg/dl"/>
    <n v="1"/>
    <x v="25"/>
    <s v="Sì"/>
    <n v="1.2"/>
    <n v="1"/>
    <n v="0"/>
    <n v="3"/>
    <s v="Sano"/>
  </r>
  <r>
    <n v="51"/>
    <x v="0"/>
    <s v="Angina tipica"/>
    <n v="140"/>
    <n v="299"/>
    <s v="≤120 mg/dl"/>
    <n v="1"/>
    <x v="26"/>
    <s v="Sì"/>
    <n v="1.6"/>
    <n v="2"/>
    <n v="0"/>
    <n v="3"/>
    <s v="Sano"/>
  </r>
  <r>
    <n v="51"/>
    <x v="0"/>
    <s v="Angina tipica"/>
    <n v="140"/>
    <n v="298"/>
    <s v="≤120 mg/dl"/>
    <n v="1"/>
    <x v="27"/>
    <s v="Sì"/>
    <n v="4.2"/>
    <n v="1"/>
    <n v="3"/>
    <n v="3"/>
    <s v="Sano"/>
  </r>
  <r>
    <n v="52"/>
    <x v="0"/>
    <s v="Angina tipica"/>
    <n v="128"/>
    <n v="255"/>
    <s v="≤120 mg/dl"/>
    <n v="1"/>
    <x v="28"/>
    <s v="Sì"/>
    <n v="0"/>
    <n v="2"/>
    <n v="1"/>
    <n v="3"/>
    <s v="Sano"/>
  </r>
  <r>
    <n v="52"/>
    <x v="0"/>
    <s v="Angina tipica"/>
    <n v="112"/>
    <n v="230"/>
    <s v="≤120 mg/dl"/>
    <n v="1"/>
    <x v="29"/>
    <s v="No"/>
    <n v="0"/>
    <n v="2"/>
    <n v="1"/>
    <n v="2"/>
    <s v="Sano"/>
  </r>
  <r>
    <n v="52"/>
    <x v="0"/>
    <s v="Angina tipica"/>
    <n v="125"/>
    <n v="212"/>
    <s v="≤120 mg/dl"/>
    <n v="1"/>
    <x v="18"/>
    <s v="No"/>
    <n v="1"/>
    <n v="2"/>
    <n v="2"/>
    <n v="3"/>
    <s v="Sano"/>
  </r>
  <r>
    <n v="52"/>
    <x v="0"/>
    <s v="Angina tipica"/>
    <n v="128"/>
    <n v="204"/>
    <s v="&gt;120 mg/dl"/>
    <n v="1"/>
    <x v="1"/>
    <s v="Sì"/>
    <n v="1"/>
    <n v="1"/>
    <n v="0"/>
    <n v="0"/>
    <s v="Sano"/>
  </r>
  <r>
    <n v="53"/>
    <x v="0"/>
    <s v="Angina tipica"/>
    <n v="140"/>
    <n v="203"/>
    <s v="&gt;120 mg/dl"/>
    <n v="0"/>
    <x v="30"/>
    <s v="Sì"/>
    <n v="3.1"/>
    <n v="0"/>
    <n v="0"/>
    <n v="3"/>
    <s v="Sano"/>
  </r>
  <r>
    <n v="53"/>
    <x v="0"/>
    <s v="Angina tipica"/>
    <n v="123"/>
    <n v="282"/>
    <s v="≤120 mg/dl"/>
    <n v="1"/>
    <x v="31"/>
    <s v="Sì"/>
    <n v="2"/>
    <n v="1"/>
    <n v="2"/>
    <n v="3"/>
    <s v="Sano"/>
  </r>
  <r>
    <n v="54"/>
    <x v="0"/>
    <s v="Angina tipica"/>
    <n v="124"/>
    <n v="266"/>
    <s v="≤120 mg/dl"/>
    <n v="0"/>
    <x v="32"/>
    <s v="Sì"/>
    <n v="2.2000000000000002"/>
    <n v="1"/>
    <n v="1"/>
    <n v="3"/>
    <s v="Sano"/>
  </r>
  <r>
    <n v="54"/>
    <x v="0"/>
    <s v="Angina tipica"/>
    <n v="120"/>
    <n v="188"/>
    <s v="≤120 mg/dl"/>
    <n v="1"/>
    <x v="33"/>
    <s v="No"/>
    <n v="1.4"/>
    <n v="1"/>
    <n v="1"/>
    <n v="3"/>
    <s v="Sano"/>
  </r>
  <r>
    <n v="54"/>
    <x v="0"/>
    <s v="Angina tipica"/>
    <n v="110"/>
    <n v="239"/>
    <s v="≤120 mg/dl"/>
    <n v="1"/>
    <x v="22"/>
    <s v="Sì"/>
    <n v="2.8"/>
    <n v="1"/>
    <n v="1"/>
    <n v="3"/>
    <s v="Sano"/>
  </r>
  <r>
    <n v="54"/>
    <x v="0"/>
    <s v="Angina atipica"/>
    <n v="192"/>
    <n v="283"/>
    <s v="≤120 mg/dl"/>
    <n v="0"/>
    <x v="34"/>
    <s v="No"/>
    <n v="0"/>
    <n v="2"/>
    <n v="1"/>
    <n v="3"/>
    <s v="Sano"/>
  </r>
  <r>
    <n v="54"/>
    <x v="0"/>
    <s v="Angina tipica"/>
    <n v="110"/>
    <n v="206"/>
    <s v="≤120 mg/dl"/>
    <n v="0"/>
    <x v="35"/>
    <s v="Sì"/>
    <n v="0"/>
    <n v="1"/>
    <n v="1"/>
    <n v="2"/>
    <s v="Sano"/>
  </r>
  <r>
    <n v="54"/>
    <x v="0"/>
    <s v="Angina tipica"/>
    <n v="122"/>
    <n v="286"/>
    <s v="≤120 mg/dl"/>
    <n v="0"/>
    <x v="36"/>
    <s v="Sì"/>
    <n v="3.2"/>
    <n v="1"/>
    <n v="2"/>
    <n v="2"/>
    <s v="Sano"/>
  </r>
  <r>
    <n v="55"/>
    <x v="0"/>
    <s v="Angina tipica"/>
    <n v="132"/>
    <n v="353"/>
    <s v="≤120 mg/dl"/>
    <n v="1"/>
    <x v="15"/>
    <s v="Sì"/>
    <n v="1.2"/>
    <n v="1"/>
    <n v="1"/>
    <n v="3"/>
    <s v="Sano"/>
  </r>
  <r>
    <n v="55"/>
    <x v="0"/>
    <s v="Angina tipica"/>
    <n v="140"/>
    <n v="217"/>
    <s v="≤120 mg/dl"/>
    <n v="1"/>
    <x v="37"/>
    <s v="Sì"/>
    <n v="5.6"/>
    <n v="0"/>
    <n v="0"/>
    <n v="3"/>
    <s v="Sano"/>
  </r>
  <r>
    <n v="55"/>
    <x v="0"/>
    <s v="Angina tipica"/>
    <n v="160"/>
    <n v="289"/>
    <s v="≤120 mg/dl"/>
    <n v="0"/>
    <x v="38"/>
    <s v="Sì"/>
    <n v="0.8"/>
    <n v="1"/>
    <n v="1"/>
    <n v="3"/>
    <s v="Sano"/>
  </r>
  <r>
    <n v="55"/>
    <x v="1"/>
    <s v="Angina tipica"/>
    <n v="180"/>
    <n v="327"/>
    <s v="≤120 mg/dl"/>
    <n v="2"/>
    <x v="39"/>
    <s v="Sì"/>
    <n v="3.4"/>
    <n v="1"/>
    <n v="0"/>
    <n v="2"/>
    <s v="Sano"/>
  </r>
  <r>
    <n v="55"/>
    <x v="1"/>
    <s v="Angina tipica"/>
    <n v="128"/>
    <n v="205"/>
    <s v="≤120 mg/dl"/>
    <n v="2"/>
    <x v="0"/>
    <s v="Sì"/>
    <n v="2"/>
    <n v="1"/>
    <n v="1"/>
    <n v="3"/>
    <s v="Sano"/>
  </r>
  <r>
    <n v="56"/>
    <x v="0"/>
    <s v="Dolore non anginoso"/>
    <n v="130"/>
    <n v="256"/>
    <s v="&gt;120 mg/dl"/>
    <n v="0"/>
    <x v="25"/>
    <s v="Sì"/>
    <n v="0.6"/>
    <n v="1"/>
    <n v="1"/>
    <n v="1"/>
    <s v="Sano"/>
  </r>
  <r>
    <n v="56"/>
    <x v="0"/>
    <s v="Angina tipica"/>
    <n v="125"/>
    <n v="249"/>
    <s v="&gt;120 mg/dl"/>
    <n v="0"/>
    <x v="13"/>
    <s v="Sì"/>
    <n v="1.2"/>
    <n v="1"/>
    <n v="1"/>
    <n v="2"/>
    <s v="Sano"/>
  </r>
  <r>
    <n v="56"/>
    <x v="1"/>
    <s v="Angina tipica"/>
    <n v="200"/>
    <n v="288"/>
    <s v="&gt;120 mg/dl"/>
    <n v="0"/>
    <x v="40"/>
    <s v="Sì"/>
    <n v="4"/>
    <n v="0"/>
    <n v="2"/>
    <n v="3"/>
    <s v="Sano"/>
  </r>
  <r>
    <n v="56"/>
    <x v="0"/>
    <s v="Angina tipica"/>
    <n v="132"/>
    <n v="184"/>
    <s v="≤120 mg/dl"/>
    <n v="0"/>
    <x v="41"/>
    <s v="Sì"/>
    <n v="2.1"/>
    <n v="1"/>
    <n v="1"/>
    <n v="1"/>
    <s v="Sano"/>
  </r>
  <r>
    <n v="56"/>
    <x v="1"/>
    <s v="Angina tipica"/>
    <n v="134"/>
    <n v="409"/>
    <s v="≤120 mg/dl"/>
    <n v="0"/>
    <x v="19"/>
    <s v="Sì"/>
    <n v="1.9"/>
    <n v="1"/>
    <n v="2"/>
    <n v="3"/>
    <s v="Sano"/>
  </r>
  <r>
    <n v="56"/>
    <x v="0"/>
    <s v="Angina tipica"/>
    <n v="130"/>
    <n v="283"/>
    <s v="&gt;120 mg/dl"/>
    <n v="0"/>
    <x v="42"/>
    <s v="Sì"/>
    <n v="1.6"/>
    <n v="0"/>
    <n v="0"/>
    <n v="3"/>
    <s v="Sano"/>
  </r>
  <r>
    <n v="57"/>
    <x v="0"/>
    <s v="Angina tipica"/>
    <n v="150"/>
    <n v="276"/>
    <s v="≤120 mg/dl"/>
    <n v="0"/>
    <x v="43"/>
    <s v="Sì"/>
    <n v="0.6"/>
    <n v="1"/>
    <n v="1"/>
    <n v="1"/>
    <s v="Sano"/>
  </r>
  <r>
    <n v="57"/>
    <x v="0"/>
    <s v="Dolore non anginoso"/>
    <n v="128"/>
    <n v="229"/>
    <s v="≤120 mg/dl"/>
    <n v="0"/>
    <x v="19"/>
    <s v="No"/>
    <n v="0.4"/>
    <n v="1"/>
    <n v="1"/>
    <n v="3"/>
    <s v="Sano"/>
  </r>
  <r>
    <n v="57"/>
    <x v="0"/>
    <s v="Angina tipica"/>
    <n v="165"/>
    <n v="289"/>
    <s v="&gt;120 mg/dl"/>
    <n v="0"/>
    <x v="44"/>
    <s v="No"/>
    <n v="1"/>
    <n v="1"/>
    <n v="3"/>
    <n v="3"/>
    <s v="Sano"/>
  </r>
  <r>
    <n v="57"/>
    <x v="0"/>
    <s v="Angina tipica"/>
    <n v="152"/>
    <n v="274"/>
    <s v="≤120 mg/dl"/>
    <n v="1"/>
    <x v="45"/>
    <s v="Sì"/>
    <n v="1.2"/>
    <n v="1"/>
    <n v="1"/>
    <n v="3"/>
    <s v="Sano"/>
  </r>
  <r>
    <n v="57"/>
    <x v="0"/>
    <s v="Angina atipica"/>
    <n v="124"/>
    <n v="261"/>
    <s v="≤120 mg/dl"/>
    <n v="1"/>
    <x v="46"/>
    <s v="No"/>
    <n v="0.3"/>
    <n v="2"/>
    <n v="0"/>
    <n v="3"/>
    <s v="Sano"/>
  </r>
  <r>
    <n v="57"/>
    <x v="0"/>
    <s v="Angina atipica"/>
    <n v="154"/>
    <n v="232"/>
    <s v="≤120 mg/dl"/>
    <n v="0"/>
    <x v="47"/>
    <s v="No"/>
    <n v="0"/>
    <n v="2"/>
    <n v="1"/>
    <n v="2"/>
    <s v="Sano"/>
  </r>
  <r>
    <n v="57"/>
    <x v="0"/>
    <s v="Angina tipica"/>
    <n v="110"/>
    <n v="335"/>
    <s v="≤120 mg/dl"/>
    <n v="1"/>
    <x v="10"/>
    <s v="Sì"/>
    <n v="3"/>
    <n v="1"/>
    <n v="1"/>
    <n v="3"/>
    <s v="Sano"/>
  </r>
  <r>
    <n v="57"/>
    <x v="1"/>
    <s v="Angina tipica"/>
    <n v="140"/>
    <n v="241"/>
    <s v="≤120 mg/dl"/>
    <n v="1"/>
    <x v="48"/>
    <s v="Sì"/>
    <n v="0.2"/>
    <n v="1"/>
    <n v="0"/>
    <n v="3"/>
    <s v="Sano"/>
  </r>
  <r>
    <n v="57"/>
    <x v="0"/>
    <s v="Angina tipica"/>
    <n v="130"/>
    <n v="131"/>
    <s v="≤120 mg/dl"/>
    <n v="1"/>
    <x v="49"/>
    <s v="Sì"/>
    <n v="1.2"/>
    <n v="1"/>
    <n v="1"/>
    <n v="3"/>
    <s v="Sano"/>
  </r>
  <r>
    <n v="57"/>
    <x v="1"/>
    <s v="Angina atipica"/>
    <n v="130"/>
    <n v="236"/>
    <s v="≤120 mg/dl"/>
    <n v="0"/>
    <x v="50"/>
    <s v="No"/>
    <n v="0"/>
    <n v="1"/>
    <n v="1"/>
    <n v="2"/>
    <s v="Sano"/>
  </r>
  <r>
    <n v="58"/>
    <x v="0"/>
    <s v="Angina atipica"/>
    <n v="120"/>
    <n v="284"/>
    <s v="≤120 mg/dl"/>
    <n v="0"/>
    <x v="29"/>
    <s v="No"/>
    <n v="1.8"/>
    <n v="1"/>
    <n v="0"/>
    <n v="2"/>
    <s v="Sano"/>
  </r>
  <r>
    <n v="58"/>
    <x v="0"/>
    <s v="Dolore non anginoso"/>
    <n v="132"/>
    <n v="224"/>
    <s v="≤120 mg/dl"/>
    <n v="0"/>
    <x v="26"/>
    <s v="No"/>
    <n v="3.2"/>
    <n v="2"/>
    <n v="2"/>
    <n v="3"/>
    <s v="Sano"/>
  </r>
  <r>
    <n v="58"/>
    <x v="0"/>
    <s v="Dolore non anginoso"/>
    <n v="112"/>
    <n v="230"/>
    <s v="≤120 mg/dl"/>
    <n v="0"/>
    <x v="51"/>
    <s v="No"/>
    <n v="2.5"/>
    <n v="1"/>
    <n v="1"/>
    <n v="3"/>
    <s v="Sano"/>
  </r>
  <r>
    <n v="58"/>
    <x v="0"/>
    <s v="Angina tipica"/>
    <n v="128"/>
    <n v="216"/>
    <s v="≤120 mg/dl"/>
    <n v="0"/>
    <x v="52"/>
    <s v="Sì"/>
    <n v="2.2000000000000002"/>
    <n v="1"/>
    <n v="3"/>
    <n v="3"/>
    <s v="Sano"/>
  </r>
  <r>
    <n v="58"/>
    <x v="0"/>
    <s v="Angina tipica"/>
    <n v="150"/>
    <n v="270"/>
    <s v="≤120 mg/dl"/>
    <n v="0"/>
    <x v="37"/>
    <s v="Sì"/>
    <n v="0.8"/>
    <n v="2"/>
    <n v="0"/>
    <n v="3"/>
    <s v="Sano"/>
  </r>
  <r>
    <n v="58"/>
    <x v="0"/>
    <s v="Angina tipica"/>
    <n v="125"/>
    <n v="300"/>
    <s v="≤120 mg/dl"/>
    <n v="0"/>
    <x v="53"/>
    <s v="No"/>
    <n v="0"/>
    <n v="2"/>
    <n v="2"/>
    <n v="3"/>
    <s v="Sano"/>
  </r>
  <r>
    <n v="58"/>
    <x v="0"/>
    <s v="Angina tipica"/>
    <n v="128"/>
    <n v="259"/>
    <s v="≤120 mg/dl"/>
    <n v="0"/>
    <x v="0"/>
    <s v="Sì"/>
    <n v="3"/>
    <n v="1"/>
    <n v="2"/>
    <n v="3"/>
    <s v="Sano"/>
  </r>
  <r>
    <n v="58"/>
    <x v="0"/>
    <s v="Angina tipica"/>
    <n v="100"/>
    <n v="234"/>
    <s v="≤120 mg/dl"/>
    <n v="1"/>
    <x v="1"/>
    <s v="No"/>
    <n v="0.1"/>
    <n v="2"/>
    <n v="1"/>
    <n v="3"/>
    <s v="Sano"/>
  </r>
  <r>
    <n v="58"/>
    <x v="0"/>
    <s v="Angina tipica"/>
    <n v="146"/>
    <n v="218"/>
    <s v="≤120 mg/dl"/>
    <n v="1"/>
    <x v="41"/>
    <s v="No"/>
    <n v="2"/>
    <n v="1"/>
    <n v="1"/>
    <n v="3"/>
    <s v="Sano"/>
  </r>
  <r>
    <n v="58"/>
    <x v="1"/>
    <s v="Angina atipica"/>
    <n v="136"/>
    <n v="319"/>
    <s v="&gt;120 mg/dl"/>
    <n v="0"/>
    <x v="16"/>
    <s v="No"/>
    <n v="0"/>
    <n v="2"/>
    <n v="2"/>
    <n v="2"/>
    <s v="Sano"/>
  </r>
  <r>
    <n v="58"/>
    <x v="0"/>
    <s v="Angina tipica"/>
    <n v="114"/>
    <n v="318"/>
    <s v="≤120 mg/dl"/>
    <n v="2"/>
    <x v="3"/>
    <s v="No"/>
    <n v="4.4000000000000004"/>
    <n v="0"/>
    <n v="3"/>
    <n v="1"/>
    <s v="Sano"/>
  </r>
  <r>
    <n v="58"/>
    <x v="1"/>
    <s v="Angina tipica"/>
    <n v="170"/>
    <n v="225"/>
    <s v="&gt;120 mg/dl"/>
    <n v="0"/>
    <x v="54"/>
    <s v="Sì"/>
    <n v="2.8"/>
    <n v="1"/>
    <n v="2"/>
    <n v="1"/>
    <s v="Sano"/>
  </r>
  <r>
    <n v="59"/>
    <x v="0"/>
    <s v="Angina tipica"/>
    <n v="170"/>
    <n v="326"/>
    <s v="≤120 mg/dl"/>
    <n v="0"/>
    <x v="3"/>
    <s v="Sì"/>
    <n v="3.4"/>
    <n v="0"/>
    <n v="0"/>
    <n v="3"/>
    <s v="Sano"/>
  </r>
  <r>
    <n v="59"/>
    <x v="0"/>
    <s v="Angina tipica"/>
    <n v="110"/>
    <n v="239"/>
    <s v="≤120 mg/dl"/>
    <n v="0"/>
    <x v="25"/>
    <s v="Sì"/>
    <n v="1.2"/>
    <n v="1"/>
    <n v="1"/>
    <n v="3"/>
    <s v="Sano"/>
  </r>
  <r>
    <n v="59"/>
    <x v="0"/>
    <s v="Angina tipica"/>
    <n v="140"/>
    <n v="177"/>
    <s v="≤120 mg/dl"/>
    <n v="1"/>
    <x v="55"/>
    <s v="Sì"/>
    <n v="0"/>
    <n v="2"/>
    <n v="1"/>
    <n v="3"/>
    <s v="Sano"/>
  </r>
  <r>
    <n v="59"/>
    <x v="0"/>
    <s v="Asintomatico"/>
    <n v="170"/>
    <n v="288"/>
    <s v="≤120 mg/dl"/>
    <n v="0"/>
    <x v="56"/>
    <s v="No"/>
    <n v="0.2"/>
    <n v="1"/>
    <n v="0"/>
    <n v="3"/>
    <s v="Sano"/>
  </r>
  <r>
    <n v="59"/>
    <x v="1"/>
    <s v="Angina tipica"/>
    <n v="174"/>
    <n v="249"/>
    <s v="≤120 mg/dl"/>
    <n v="1"/>
    <x v="10"/>
    <s v="Sì"/>
    <n v="0"/>
    <n v="1"/>
    <n v="0"/>
    <n v="2"/>
    <s v="Sano"/>
  </r>
  <r>
    <n v="59"/>
    <x v="0"/>
    <s v="Asintomatico"/>
    <n v="160"/>
    <n v="273"/>
    <s v="≤120 mg/dl"/>
    <n v="0"/>
    <x v="7"/>
    <s v="No"/>
    <n v="0"/>
    <n v="2"/>
    <n v="0"/>
    <n v="2"/>
    <s v="Sano"/>
  </r>
  <r>
    <n v="59"/>
    <x v="0"/>
    <s v="Dolore non anginoso"/>
    <n v="126"/>
    <n v="218"/>
    <s v="&gt;120 mg/dl"/>
    <n v="1"/>
    <x v="57"/>
    <s v="No"/>
    <n v="2.2000000000000002"/>
    <n v="1"/>
    <n v="1"/>
    <n v="1"/>
    <s v="Sano"/>
  </r>
  <r>
    <n v="59"/>
    <x v="0"/>
    <s v="Asintomatico"/>
    <n v="134"/>
    <n v="204"/>
    <s v="≤120 mg/dl"/>
    <n v="1"/>
    <x v="55"/>
    <s v="No"/>
    <n v="0.8"/>
    <n v="2"/>
    <n v="2"/>
    <n v="2"/>
    <s v="Sano"/>
  </r>
  <r>
    <n v="59"/>
    <x v="0"/>
    <s v="Angina tipica"/>
    <n v="164"/>
    <n v="176"/>
    <s v="&gt;120 mg/dl"/>
    <n v="0"/>
    <x v="58"/>
    <s v="No"/>
    <n v="1"/>
    <n v="1"/>
    <n v="2"/>
    <n v="1"/>
    <s v="Sano"/>
  </r>
  <r>
    <n v="60"/>
    <x v="0"/>
    <s v="Angina tipica"/>
    <n v="130"/>
    <n v="206"/>
    <s v="≤120 mg/dl"/>
    <n v="0"/>
    <x v="15"/>
    <s v="Sì"/>
    <n v="2.4"/>
    <n v="1"/>
    <n v="2"/>
    <n v="3"/>
    <s v="Sano"/>
  </r>
  <r>
    <n v="60"/>
    <x v="0"/>
    <s v="Angina tipica"/>
    <n v="117"/>
    <n v="230"/>
    <s v="&gt;120 mg/dl"/>
    <n v="1"/>
    <x v="29"/>
    <s v="Sì"/>
    <n v="1.4"/>
    <n v="2"/>
    <n v="2"/>
    <n v="3"/>
    <s v="Sano"/>
  </r>
  <r>
    <n v="60"/>
    <x v="0"/>
    <s v="Angina tipica"/>
    <n v="130"/>
    <n v="253"/>
    <s v="≤120 mg/dl"/>
    <n v="1"/>
    <x v="13"/>
    <s v="Sì"/>
    <n v="1.4"/>
    <n v="2"/>
    <n v="1"/>
    <n v="3"/>
    <s v="Sano"/>
  </r>
  <r>
    <n v="60"/>
    <x v="0"/>
    <s v="Angina tipica"/>
    <n v="145"/>
    <n v="282"/>
    <s v="≤120 mg/dl"/>
    <n v="0"/>
    <x v="25"/>
    <s v="Sì"/>
    <n v="2.8"/>
    <n v="1"/>
    <n v="2"/>
    <n v="3"/>
    <s v="Sano"/>
  </r>
  <r>
    <n v="60"/>
    <x v="0"/>
    <s v="Dolore non anginoso"/>
    <n v="140"/>
    <n v="185"/>
    <s v="≤120 mg/dl"/>
    <n v="0"/>
    <x v="30"/>
    <s v="No"/>
    <n v="3"/>
    <n v="1"/>
    <n v="0"/>
    <n v="2"/>
    <s v="Sano"/>
  </r>
  <r>
    <n v="60"/>
    <x v="0"/>
    <s v="Angina tipica"/>
    <n v="125"/>
    <n v="258"/>
    <s v="≤120 mg/dl"/>
    <n v="0"/>
    <x v="46"/>
    <s v="Sì"/>
    <n v="2.8"/>
    <n v="1"/>
    <n v="1"/>
    <n v="3"/>
    <s v="Sano"/>
  </r>
  <r>
    <n v="60"/>
    <x v="1"/>
    <s v="Angina tipica"/>
    <n v="150"/>
    <n v="258"/>
    <s v="≤120 mg/dl"/>
    <n v="0"/>
    <x v="59"/>
    <s v="No"/>
    <n v="2.6"/>
    <n v="1"/>
    <n v="2"/>
    <n v="3"/>
    <s v="Sano"/>
  </r>
  <r>
    <n v="60"/>
    <x v="0"/>
    <s v="Angina tipica"/>
    <n v="140"/>
    <n v="293"/>
    <s v="≤120 mg/dl"/>
    <n v="0"/>
    <x v="60"/>
    <s v="No"/>
    <n v="1.2"/>
    <n v="1"/>
    <n v="2"/>
    <n v="3"/>
    <s v="Sano"/>
  </r>
  <r>
    <n v="61"/>
    <x v="1"/>
    <s v="Angina tipica"/>
    <n v="130"/>
    <n v="330"/>
    <s v="≤120 mg/dl"/>
    <n v="0"/>
    <x v="61"/>
    <s v="No"/>
    <n v="0"/>
    <n v="2"/>
    <n v="0"/>
    <n v="2"/>
    <s v="Sano"/>
  </r>
  <r>
    <n v="61"/>
    <x v="0"/>
    <s v="Angina tipica"/>
    <n v="120"/>
    <n v="260"/>
    <s v="≤120 mg/dl"/>
    <n v="1"/>
    <x v="3"/>
    <s v="Sì"/>
    <n v="3.6"/>
    <n v="1"/>
    <n v="1"/>
    <n v="3"/>
    <s v="Sano"/>
  </r>
  <r>
    <n v="61"/>
    <x v="1"/>
    <s v="Angina tipica"/>
    <n v="145"/>
    <n v="307"/>
    <s v="≤120 mg/dl"/>
    <n v="0"/>
    <x v="54"/>
    <s v="Sì"/>
    <n v="1"/>
    <n v="1"/>
    <n v="0"/>
    <n v="3"/>
    <s v="Sano"/>
  </r>
  <r>
    <n v="61"/>
    <x v="0"/>
    <s v="Asintomatico"/>
    <n v="134"/>
    <n v="234"/>
    <s v="≤120 mg/dl"/>
    <n v="1"/>
    <x v="38"/>
    <s v="No"/>
    <n v="2.6"/>
    <n v="1"/>
    <n v="2"/>
    <n v="2"/>
    <s v="Sano"/>
  </r>
  <r>
    <n v="61"/>
    <x v="0"/>
    <s v="Angina tipica"/>
    <n v="138"/>
    <n v="166"/>
    <s v="≤120 mg/dl"/>
    <n v="0"/>
    <x v="7"/>
    <s v="Sì"/>
    <n v="3.6"/>
    <n v="1"/>
    <n v="1"/>
    <n v="2"/>
    <s v="Sano"/>
  </r>
  <r>
    <n v="61"/>
    <x v="0"/>
    <s v="Angina tipica"/>
    <n v="140"/>
    <n v="207"/>
    <s v="≤120 mg/dl"/>
    <n v="0"/>
    <x v="62"/>
    <s v="Sì"/>
    <n v="1.9"/>
    <n v="2"/>
    <n v="1"/>
    <n v="3"/>
    <s v="Sano"/>
  </r>
  <r>
    <n v="61"/>
    <x v="0"/>
    <s v="Angina tipica"/>
    <n v="148"/>
    <n v="203"/>
    <s v="≤120 mg/dl"/>
    <n v="1"/>
    <x v="28"/>
    <s v="No"/>
    <n v="0"/>
    <n v="2"/>
    <n v="1"/>
    <n v="3"/>
    <s v="Sano"/>
  </r>
  <r>
    <n v="62"/>
    <x v="1"/>
    <s v="Angina tipica"/>
    <n v="140"/>
    <n v="268"/>
    <s v="≤120 mg/dl"/>
    <n v="0"/>
    <x v="29"/>
    <s v="No"/>
    <n v="3.6"/>
    <n v="0"/>
    <n v="2"/>
    <n v="2"/>
    <s v="Sano"/>
  </r>
  <r>
    <n v="62"/>
    <x v="0"/>
    <s v="Angina tipica"/>
    <n v="120"/>
    <n v="267"/>
    <s v="≤120 mg/dl"/>
    <n v="1"/>
    <x v="63"/>
    <s v="Sì"/>
    <n v="1.8"/>
    <n v="1"/>
    <n v="2"/>
    <n v="3"/>
    <s v="Sano"/>
  </r>
  <r>
    <n v="62"/>
    <x v="1"/>
    <s v="Angina tipica"/>
    <n v="160"/>
    <n v="164"/>
    <s v="≤120 mg/dl"/>
    <n v="0"/>
    <x v="38"/>
    <s v="No"/>
    <n v="6.2"/>
    <n v="0"/>
    <n v="3"/>
    <n v="3"/>
    <s v="Sano"/>
  </r>
  <r>
    <n v="62"/>
    <x v="1"/>
    <s v="Dolore non anginoso"/>
    <n v="130"/>
    <n v="263"/>
    <s v="≤120 mg/dl"/>
    <n v="1"/>
    <x v="64"/>
    <s v="No"/>
    <n v="1.2"/>
    <n v="1"/>
    <n v="1"/>
    <n v="3"/>
    <s v="Sano"/>
  </r>
  <r>
    <n v="62"/>
    <x v="0"/>
    <s v="Angina atipica"/>
    <n v="120"/>
    <n v="281"/>
    <s v="≤120 mg/dl"/>
    <n v="0"/>
    <x v="42"/>
    <s v="No"/>
    <n v="1.4"/>
    <n v="1"/>
    <n v="1"/>
    <n v="3"/>
    <s v="Sano"/>
  </r>
  <r>
    <n v="62"/>
    <x v="1"/>
    <s v="Angina tipica"/>
    <n v="138"/>
    <n v="294"/>
    <s v="&gt;120 mg/dl"/>
    <n v="1"/>
    <x v="65"/>
    <s v="No"/>
    <n v="1.9"/>
    <n v="1"/>
    <n v="3"/>
    <n v="2"/>
    <s v="Sano"/>
  </r>
  <r>
    <n v="62"/>
    <x v="1"/>
    <s v="Angina tipica"/>
    <n v="150"/>
    <n v="244"/>
    <s v="≤120 mg/dl"/>
    <n v="1"/>
    <x v="66"/>
    <s v="Sì"/>
    <n v="1.4"/>
    <n v="1"/>
    <n v="0"/>
    <n v="2"/>
    <s v="Sano"/>
  </r>
  <r>
    <n v="63"/>
    <x v="0"/>
    <s v="Angina tipica"/>
    <n v="130"/>
    <n v="254"/>
    <s v="≤120 mg/dl"/>
    <n v="0"/>
    <x v="14"/>
    <s v="No"/>
    <n v="1.4"/>
    <n v="1"/>
    <n v="1"/>
    <n v="3"/>
    <s v="Sano"/>
  </r>
  <r>
    <n v="63"/>
    <x v="0"/>
    <s v="Angina tipica"/>
    <n v="130"/>
    <n v="330"/>
    <s v="&gt;120 mg/dl"/>
    <n v="0"/>
    <x v="15"/>
    <s v="Sì"/>
    <n v="1.8"/>
    <n v="2"/>
    <n v="3"/>
    <n v="3"/>
    <s v="Sano"/>
  </r>
  <r>
    <n v="63"/>
    <x v="1"/>
    <s v="Angina tipica"/>
    <n v="150"/>
    <n v="407"/>
    <s v="≤120 mg/dl"/>
    <n v="0"/>
    <x v="66"/>
    <s v="No"/>
    <n v="4"/>
    <n v="1"/>
    <n v="3"/>
    <n v="3"/>
    <s v="Sano"/>
  </r>
  <r>
    <n v="63"/>
    <x v="1"/>
    <s v="Angina tipica"/>
    <n v="108"/>
    <n v="269"/>
    <s v="≤120 mg/dl"/>
    <n v="1"/>
    <x v="61"/>
    <s v="Sì"/>
    <n v="1.8"/>
    <n v="1"/>
    <n v="2"/>
    <n v="2"/>
    <s v="Sano"/>
  </r>
  <r>
    <n v="63"/>
    <x v="0"/>
    <s v="Angina tipica"/>
    <n v="140"/>
    <n v="187"/>
    <s v="≤120 mg/dl"/>
    <n v="0"/>
    <x v="13"/>
    <s v="Sì"/>
    <n v="4"/>
    <n v="2"/>
    <n v="2"/>
    <n v="3"/>
    <s v="Sano"/>
  </r>
  <r>
    <n v="63"/>
    <x v="1"/>
    <s v="Angina tipica"/>
    <n v="124"/>
    <n v="197"/>
    <s v="≤120 mg/dl"/>
    <n v="1"/>
    <x v="9"/>
    <s v="Sì"/>
    <n v="0"/>
    <n v="1"/>
    <n v="0"/>
    <n v="2"/>
    <s v="Sano"/>
  </r>
  <r>
    <n v="64"/>
    <x v="0"/>
    <s v="Dolore non anginoso"/>
    <n v="140"/>
    <n v="335"/>
    <s v="≤120 mg/dl"/>
    <n v="1"/>
    <x v="6"/>
    <s v="No"/>
    <n v="0"/>
    <n v="2"/>
    <n v="0"/>
    <n v="2"/>
    <s v="Sano"/>
  </r>
  <r>
    <n v="64"/>
    <x v="0"/>
    <s v="Dolore non anginoso"/>
    <n v="125"/>
    <n v="309"/>
    <s v="≤120 mg/dl"/>
    <n v="1"/>
    <x v="52"/>
    <s v="Sì"/>
    <n v="1.8"/>
    <n v="1"/>
    <n v="0"/>
    <n v="3"/>
    <s v="Sano"/>
  </r>
  <r>
    <n v="64"/>
    <x v="0"/>
    <s v="Angina tipica"/>
    <n v="120"/>
    <n v="246"/>
    <s v="≤120 mg/dl"/>
    <n v="0"/>
    <x v="67"/>
    <s v="Sì"/>
    <n v="2.2000000000000002"/>
    <n v="0"/>
    <n v="1"/>
    <n v="2"/>
    <s v="Sano"/>
  </r>
  <r>
    <n v="64"/>
    <x v="0"/>
    <s v="Angina tipica"/>
    <n v="145"/>
    <n v="212"/>
    <s v="≤120 mg/dl"/>
    <n v="0"/>
    <x v="15"/>
    <s v="No"/>
    <n v="2"/>
    <n v="1"/>
    <n v="2"/>
    <n v="1"/>
    <s v="Sano"/>
  </r>
  <r>
    <n v="65"/>
    <x v="1"/>
    <s v="Angina tipica"/>
    <n v="150"/>
    <n v="225"/>
    <s v="≤120 mg/dl"/>
    <n v="0"/>
    <x v="4"/>
    <s v="No"/>
    <n v="1"/>
    <n v="1"/>
    <n v="3"/>
    <n v="3"/>
    <s v="Sano"/>
  </r>
  <r>
    <n v="65"/>
    <x v="0"/>
    <s v="Angina tipica"/>
    <n v="110"/>
    <n v="248"/>
    <s v="≤120 mg/dl"/>
    <n v="0"/>
    <x v="6"/>
    <s v="No"/>
    <n v="0.6"/>
    <n v="2"/>
    <n v="2"/>
    <n v="1"/>
    <s v="Sano"/>
  </r>
  <r>
    <n v="65"/>
    <x v="0"/>
    <s v="Angina tipica"/>
    <n v="135"/>
    <n v="254"/>
    <s v="≤120 mg/dl"/>
    <n v="0"/>
    <x v="68"/>
    <s v="No"/>
    <n v="2.8"/>
    <n v="1"/>
    <n v="1"/>
    <n v="3"/>
    <s v="Sano"/>
  </r>
  <r>
    <n v="65"/>
    <x v="0"/>
    <s v="Asintomatico"/>
    <n v="138"/>
    <n v="282"/>
    <s v="&gt;120 mg/dl"/>
    <n v="0"/>
    <x v="50"/>
    <s v="No"/>
    <n v="1.4"/>
    <n v="1"/>
    <n v="1"/>
    <n v="2"/>
    <s v="Sano"/>
  </r>
  <r>
    <n v="66"/>
    <x v="0"/>
    <s v="Angina atipica"/>
    <n v="160"/>
    <n v="246"/>
    <s v="≤120 mg/dl"/>
    <n v="1"/>
    <x v="8"/>
    <s v="Sì"/>
    <n v="0"/>
    <n v="1"/>
    <n v="3"/>
    <n v="1"/>
    <s v="Sano"/>
  </r>
  <r>
    <n v="66"/>
    <x v="1"/>
    <s v="Angina tipica"/>
    <n v="178"/>
    <n v="228"/>
    <s v="&gt;120 mg/dl"/>
    <n v="1"/>
    <x v="51"/>
    <s v="Sì"/>
    <n v="1"/>
    <n v="1"/>
    <n v="2"/>
    <n v="3"/>
    <s v="Sano"/>
  </r>
  <r>
    <n v="66"/>
    <x v="0"/>
    <s v="Angina tipica"/>
    <n v="112"/>
    <n v="212"/>
    <s v="≤120 mg/dl"/>
    <n v="0"/>
    <x v="15"/>
    <s v="Sì"/>
    <n v="0.1"/>
    <n v="2"/>
    <n v="1"/>
    <n v="2"/>
    <s v="Sano"/>
  </r>
  <r>
    <n v="67"/>
    <x v="0"/>
    <s v="Angina tipica"/>
    <n v="160"/>
    <n v="286"/>
    <s v="≤120 mg/dl"/>
    <n v="0"/>
    <x v="35"/>
    <s v="Sì"/>
    <n v="1.5"/>
    <n v="1"/>
    <n v="3"/>
    <n v="2"/>
    <s v="Sano"/>
  </r>
  <r>
    <n v="67"/>
    <x v="0"/>
    <s v="Angina tipica"/>
    <n v="120"/>
    <n v="229"/>
    <s v="≤120 mg/dl"/>
    <n v="0"/>
    <x v="69"/>
    <s v="Sì"/>
    <n v="2.6"/>
    <n v="1"/>
    <n v="2"/>
    <n v="3"/>
    <s v="Sano"/>
  </r>
  <r>
    <n v="67"/>
    <x v="0"/>
    <s v="Angina tipica"/>
    <n v="125"/>
    <n v="254"/>
    <s v="&gt;120 mg/dl"/>
    <n v="1"/>
    <x v="24"/>
    <s v="No"/>
    <n v="0.2"/>
    <n v="1"/>
    <n v="2"/>
    <n v="3"/>
    <s v="Sano"/>
  </r>
  <r>
    <n v="67"/>
    <x v="0"/>
    <s v="Angina tipica"/>
    <n v="100"/>
    <n v="299"/>
    <s v="≤120 mg/dl"/>
    <n v="0"/>
    <x v="7"/>
    <s v="Sì"/>
    <n v="0.9"/>
    <n v="1"/>
    <n v="2"/>
    <n v="2"/>
    <s v="Sano"/>
  </r>
  <r>
    <n v="67"/>
    <x v="0"/>
    <s v="Angina tipica"/>
    <n v="120"/>
    <n v="237"/>
    <s v="≤120 mg/dl"/>
    <n v="1"/>
    <x v="70"/>
    <s v="No"/>
    <n v="1"/>
    <n v="1"/>
    <n v="0"/>
    <n v="2"/>
    <s v="Sano"/>
  </r>
  <r>
    <n v="67"/>
    <x v="0"/>
    <s v="Dolore non anginoso"/>
    <n v="152"/>
    <n v="212"/>
    <s v="≤120 mg/dl"/>
    <n v="0"/>
    <x v="19"/>
    <s v="No"/>
    <n v="0.8"/>
    <n v="1"/>
    <n v="0"/>
    <n v="3"/>
    <s v="Sano"/>
  </r>
  <r>
    <n v="68"/>
    <x v="0"/>
    <s v="Dolore non anginoso"/>
    <n v="180"/>
    <n v="274"/>
    <s v="&gt;120 mg/dl"/>
    <n v="0"/>
    <x v="19"/>
    <s v="Sì"/>
    <n v="1.6"/>
    <n v="1"/>
    <n v="0"/>
    <n v="3"/>
    <s v="Sano"/>
  </r>
  <r>
    <n v="68"/>
    <x v="0"/>
    <s v="Angina tipica"/>
    <n v="144"/>
    <n v="193"/>
    <s v="&gt;120 mg/dl"/>
    <n v="1"/>
    <x v="46"/>
    <s v="No"/>
    <n v="3.4"/>
    <n v="1"/>
    <n v="2"/>
    <n v="3"/>
    <s v="Sa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3D5DE-1561-4221-BD64-37F49C1365B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14">
    <pivotField showAll="0"/>
    <pivotField axis="axisRow" dataField="1" showAll="0">
      <items count="3">
        <item x="1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153">
        <item x="84"/>
        <item x="151"/>
        <item x="45"/>
        <item x="99"/>
        <item x="103"/>
        <item x="75"/>
        <item x="124"/>
        <item x="145"/>
        <item x="109"/>
        <item x="9"/>
        <item x="147"/>
        <item x="117"/>
        <item x="130"/>
        <item x="23"/>
        <item x="149"/>
        <item x="27"/>
        <item x="95"/>
        <item x="97"/>
        <item x="50"/>
        <item x="56"/>
        <item x="137"/>
        <item x="121"/>
        <item x="54"/>
        <item x="148"/>
        <item x="119"/>
        <item x="5"/>
        <item x="88"/>
        <item x="81"/>
        <item x="82"/>
        <item x="25"/>
        <item x="26"/>
        <item x="8"/>
        <item x="140"/>
        <item x="47"/>
        <item x="55"/>
        <item x="2"/>
        <item x="63"/>
        <item x="108"/>
        <item x="72"/>
        <item x="36"/>
        <item x="58"/>
        <item x="92"/>
        <item x="13"/>
        <item x="22"/>
        <item x="29"/>
        <item x="69"/>
        <item x="87"/>
        <item x="42"/>
        <item x="129"/>
        <item x="143"/>
        <item x="15"/>
        <item x="57"/>
        <item x="62"/>
        <item x="48"/>
        <item x="73"/>
        <item x="107"/>
        <item x="114"/>
        <item x="17"/>
        <item x="60"/>
        <item x="98"/>
        <item x="105"/>
        <item x="110"/>
        <item x="44"/>
        <item x="31"/>
        <item x="0"/>
        <item x="19"/>
        <item x="40"/>
        <item x="3"/>
        <item x="142"/>
        <item x="10"/>
        <item x="64"/>
        <item x="150"/>
        <item x="96"/>
        <item x="20"/>
        <item x="79"/>
        <item x="35"/>
        <item x="78"/>
        <item x="18"/>
        <item x="70"/>
        <item x="126"/>
        <item x="1"/>
        <item x="46"/>
        <item x="101"/>
        <item x="83"/>
        <item x="71"/>
        <item x="43"/>
        <item x="41"/>
        <item x="59"/>
        <item x="139"/>
        <item x="49"/>
        <item x="61"/>
        <item x="86"/>
        <item x="7"/>
        <item x="37"/>
        <item x="52"/>
        <item x="12"/>
        <item x="91"/>
        <item x="90"/>
        <item x="32"/>
        <item x="80"/>
        <item x="89"/>
        <item x="28"/>
        <item x="123"/>
        <item x="11"/>
        <item x="112"/>
        <item x="68"/>
        <item x="100"/>
        <item x="131"/>
        <item x="120"/>
        <item x="14"/>
        <item x="106"/>
        <item x="104"/>
        <item x="74"/>
        <item x="132"/>
        <item x="116"/>
        <item x="136"/>
        <item x="6"/>
        <item x="93"/>
        <item x="66"/>
        <item x="134"/>
        <item x="135"/>
        <item x="21"/>
        <item x="51"/>
        <item x="30"/>
        <item x="118"/>
        <item x="94"/>
        <item x="125"/>
        <item x="34"/>
        <item x="53"/>
        <item x="146"/>
        <item x="85"/>
        <item x="77"/>
        <item x="65"/>
        <item x="144"/>
        <item x="38"/>
        <item x="133"/>
        <item x="39"/>
        <item x="122"/>
        <item x="141"/>
        <item x="115"/>
        <item x="111"/>
        <item x="16"/>
        <item x="127"/>
        <item x="102"/>
        <item x="113"/>
        <item x="4"/>
        <item x="33"/>
        <item x="76"/>
        <item x="128"/>
        <item x="138"/>
        <item x="24"/>
        <item x="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sesso" fld="1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8C169-3529-43DC-A54F-9C886A661CE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1" firstDataRow="2" firstDataCol="1"/>
  <pivotFields count="14">
    <pivotField showAll="0"/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>
      <items count="51">
        <item x="23"/>
        <item x="21"/>
        <item x="27"/>
        <item x="25"/>
        <item x="13"/>
        <item x="9"/>
        <item x="35"/>
        <item x="16"/>
        <item x="6"/>
        <item x="24"/>
        <item x="47"/>
        <item x="19"/>
        <item x="39"/>
        <item x="20"/>
        <item x="2"/>
        <item x="18"/>
        <item x="45"/>
        <item x="22"/>
        <item x="10"/>
        <item x="34"/>
        <item x="15"/>
        <item x="31"/>
        <item x="1"/>
        <item x="28"/>
        <item x="17"/>
        <item x="7"/>
        <item x="33"/>
        <item x="14"/>
        <item x="3"/>
        <item x="11"/>
        <item x="44"/>
        <item x="0"/>
        <item x="38"/>
        <item x="29"/>
        <item x="5"/>
        <item x="26"/>
        <item x="46"/>
        <item x="12"/>
        <item x="36"/>
        <item x="8"/>
        <item x="48"/>
        <item x="41"/>
        <item x="37"/>
        <item x="4"/>
        <item x="42"/>
        <item x="30"/>
        <item x="32"/>
        <item x="43"/>
        <item x="40"/>
        <item x="49"/>
        <item t="default"/>
      </items>
    </pivotField>
    <pivotField showAll="0">
      <items count="154">
        <item x="84"/>
        <item x="151"/>
        <item x="45"/>
        <item x="99"/>
        <item x="103"/>
        <item x="75"/>
        <item x="124"/>
        <item x="145"/>
        <item x="109"/>
        <item x="9"/>
        <item x="147"/>
        <item x="117"/>
        <item x="130"/>
        <item x="23"/>
        <item x="149"/>
        <item x="27"/>
        <item x="95"/>
        <item x="97"/>
        <item x="50"/>
        <item x="56"/>
        <item x="137"/>
        <item x="121"/>
        <item x="54"/>
        <item x="148"/>
        <item x="119"/>
        <item x="5"/>
        <item x="88"/>
        <item x="81"/>
        <item x="82"/>
        <item x="25"/>
        <item x="26"/>
        <item x="8"/>
        <item x="140"/>
        <item x="47"/>
        <item x="55"/>
        <item x="2"/>
        <item x="63"/>
        <item x="108"/>
        <item x="72"/>
        <item x="36"/>
        <item x="58"/>
        <item x="92"/>
        <item x="13"/>
        <item x="22"/>
        <item x="29"/>
        <item x="69"/>
        <item x="87"/>
        <item x="42"/>
        <item x="129"/>
        <item x="143"/>
        <item x="15"/>
        <item x="57"/>
        <item x="62"/>
        <item x="48"/>
        <item x="73"/>
        <item x="107"/>
        <item x="114"/>
        <item x="17"/>
        <item x="60"/>
        <item x="98"/>
        <item x="105"/>
        <item x="110"/>
        <item x="44"/>
        <item x="31"/>
        <item x="0"/>
        <item x="19"/>
        <item x="40"/>
        <item x="3"/>
        <item x="142"/>
        <item x="10"/>
        <item x="64"/>
        <item x="150"/>
        <item x="96"/>
        <item x="20"/>
        <item x="79"/>
        <item x="35"/>
        <item x="78"/>
        <item x="18"/>
        <item x="70"/>
        <item x="126"/>
        <item x="1"/>
        <item x="46"/>
        <item x="101"/>
        <item x="83"/>
        <item x="71"/>
        <item x="43"/>
        <item x="41"/>
        <item x="59"/>
        <item x="139"/>
        <item x="49"/>
        <item x="61"/>
        <item x="86"/>
        <item x="7"/>
        <item x="37"/>
        <item x="52"/>
        <item x="12"/>
        <item x="91"/>
        <item x="90"/>
        <item x="32"/>
        <item x="80"/>
        <item x="89"/>
        <item x="28"/>
        <item x="123"/>
        <item x="11"/>
        <item x="112"/>
        <item x="68"/>
        <item x="100"/>
        <item x="131"/>
        <item x="120"/>
        <item x="14"/>
        <item x="106"/>
        <item x="104"/>
        <item x="74"/>
        <item x="132"/>
        <item x="116"/>
        <item x="136"/>
        <item x="6"/>
        <item x="93"/>
        <item x="66"/>
        <item x="134"/>
        <item x="135"/>
        <item x="21"/>
        <item x="51"/>
        <item x="30"/>
        <item x="118"/>
        <item x="94"/>
        <item x="125"/>
        <item x="34"/>
        <item x="53"/>
        <item x="146"/>
        <item x="85"/>
        <item x="77"/>
        <item x="65"/>
        <item x="144"/>
        <item x="38"/>
        <item x="133"/>
        <item x="39"/>
        <item x="122"/>
        <item x="141"/>
        <item x="115"/>
        <item x="111"/>
        <item x="16"/>
        <item x="127"/>
        <item x="102"/>
        <item x="113"/>
        <item x="4"/>
        <item x="33"/>
        <item x="76"/>
        <item x="128"/>
        <item x="138"/>
        <item x="24"/>
        <item x="67"/>
        <item x="152"/>
        <item t="default"/>
      </items>
    </pivotField>
    <pivotField axis="axisCol" dataField="1" showAll="0">
      <items count="4">
        <item x="0"/>
        <item x="1"/>
        <item x="2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7">
        <item x="0"/>
        <item x="2"/>
        <item x="1"/>
        <item x="3"/>
        <item x="4"/>
        <item x="5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glicemia_digiuno" fld="5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65C58-B013-45C3-841C-DF6EA8DF62C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2">
        <item x="7"/>
        <item x="18"/>
        <item x="11"/>
        <item x="24"/>
        <item x="5"/>
        <item x="8"/>
        <item x="4"/>
        <item x="23"/>
        <item x="3"/>
        <item x="25"/>
        <item x="13"/>
        <item x="21"/>
        <item x="10"/>
        <item x="6"/>
        <item x="2"/>
        <item x="15"/>
        <item x="9"/>
        <item x="12"/>
        <item x="19"/>
        <item x="22"/>
        <item x="37"/>
        <item x="30"/>
        <item x="0"/>
        <item x="17"/>
        <item x="29"/>
        <item x="14"/>
        <item x="31"/>
        <item x="36"/>
        <item x="16"/>
        <item x="27"/>
        <item x="28"/>
        <item x="32"/>
        <item x="1"/>
        <item x="26"/>
        <item x="38"/>
        <item x="34"/>
        <item x="20"/>
        <item x="39"/>
        <item x="35"/>
        <item x="33"/>
        <item x="40"/>
        <item t="default"/>
      </items>
    </pivotField>
    <pivotField axis="axisRow" dataField="1" showAll="0">
      <items count="5">
        <item x="0"/>
        <item x="2"/>
        <item x="1"/>
        <item x="3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pendenza_st" fld="1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2D31C-CB9D-4F03-9571-7925541762C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G10" firstHeaderRow="1" firstDataRow="3" firstDataCol="1" rowPageCount="2" colPageCount="1"/>
  <pivotFields count="14"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dataField="1" showAll="0">
      <items count="42">
        <item x="7"/>
        <item x="18"/>
        <item x="11"/>
        <item x="24"/>
        <item x="5"/>
        <item x="8"/>
        <item x="4"/>
        <item x="23"/>
        <item x="3"/>
        <item x="25"/>
        <item x="13"/>
        <item x="21"/>
        <item x="10"/>
        <item x="6"/>
        <item x="2"/>
        <item x="15"/>
        <item x="9"/>
        <item x="12"/>
        <item x="19"/>
        <item x="22"/>
        <item x="37"/>
        <item x="30"/>
        <item x="0"/>
        <item x="17"/>
        <item x="29"/>
        <item x="14"/>
        <item x="31"/>
        <item x="36"/>
        <item x="16"/>
        <item x="27"/>
        <item x="28"/>
        <item x="32"/>
        <item x="1"/>
        <item x="26"/>
        <item x="38"/>
        <item x="34"/>
        <item x="20"/>
        <item x="39"/>
        <item x="35"/>
        <item x="33"/>
        <item x="4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axis="axisCol" dataField="1" showAll="0">
      <items count="4">
        <item x="0"/>
        <item x="1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2">
    <field x="1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2">
    <pageField fld="8" hier="-1"/>
    <pageField fld="1" item="0" hier="-1"/>
  </pageFields>
  <dataFields count="2">
    <dataField name="Count of diagnosi" fld="13" subtotal="count" baseField="0" baseItem="0"/>
    <dataField name="Sum of depressione_s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69E7C-9F5C-441C-AC57-42608EC8FDDD}" name="PivotTable3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J7" firstHeaderRow="0" firstDataRow="1" firstDataCol="1"/>
  <pivotFields count="14">
    <pivotField showAll="0"/>
    <pivotField axis="axisRow" dataField="1" showAll="0">
      <items count="3">
        <item x="0"/>
        <item x="1"/>
        <item t="default"/>
      </items>
    </pivotField>
    <pivotField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>
      <items count="2"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Count of sesso" fld="1" subtotal="count" showDataAs="percentOfTotal" baseField="0" baseItem="0" numFmtId="10"/>
    <dataField name="Average of pressione_riposo" fld="3" subtotal="average" baseField="0" baseItem="0"/>
    <dataField name="Average of ecg_riposo" fld="6" subtotal="average" baseField="0" baseItem="0"/>
    <dataField name="Average of colesterolo" fld="4" subtotal="average" baseField="0" baseItem="0"/>
    <dataField name="Average of freq_cardiaca_max" fld="7" subtotal="average" baseField="0" baseItem="0"/>
    <dataField name="Count of angina_sforzo" fld="8" subtotal="count" baseField="0" baseItem="0"/>
    <dataField name="Average of depressione_st" fld="9" subtotal="average" baseField="0" baseItem="0" numFmtId="2"/>
    <dataField name="Average of vasi_principali" fld="11" subtotal="average" baseField="0" baseItem="0" numFmtId="2"/>
    <dataField name="Average of pendenza_st" fld="10" subtotal="average" baseField="0" baseItem="0" numFmtId="2"/>
  </dataFields>
  <formats count="7">
    <format dxfId="163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164">
      <pivotArea collapsedLevelsAreSubtotals="1" fieldPosition="0">
        <references count="2">
          <reference field="4294967294" count="2" selected="0">
            <x v="2"/>
            <x v="4"/>
          </reference>
          <reference field="1" count="0"/>
        </references>
      </pivotArea>
    </format>
    <format dxfId="157">
      <pivotArea field="1" grandRow="1" outline="0" collapsedLevelsAreSubtotals="1" axis="axisRow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  <format dxfId="156">
      <pivotArea collapsedLevelsAreSubtotals="1" fieldPosition="0">
        <references count="2">
          <reference field="4294967294" count="5" selected="0">
            <x v="1"/>
            <x v="2"/>
            <x v="3"/>
            <x v="4"/>
            <x v="5"/>
          </reference>
          <reference field="1" count="1">
            <x v="1"/>
          </reference>
        </references>
      </pivotArea>
    </format>
    <format dxfId="118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82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63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31BFE-5838-4240-B49F-D86C12C26704}" name="PivotTable4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EB981-78C1-4F59-9E91-23B1E49674DB}" name="PivotTable6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J7" firstHeaderRow="0" firstDataRow="1" firstDataCol="1"/>
  <pivotFields count="14">
    <pivotField showAll="0"/>
    <pivotField axis="axisRow" dataField="1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Count of sesso" fld="1" subtotal="count" showDataAs="percentOfTotal" baseField="0" baseItem="0" numFmtId="10"/>
    <dataField name="Average of pressione_riposo" fld="3" subtotal="average" baseField="0" baseItem="0" numFmtId="2"/>
    <dataField name="Average of ecg_riposo" fld="6" subtotal="average" baseField="0" baseItem="0" numFmtId="2"/>
    <dataField name="Average of colesterolo" fld="4" subtotal="average" baseField="0" baseItem="0" numFmtId="2"/>
    <dataField name="Average of freq_cardiaca_max" fld="7" subtotal="average" baseField="0" baseItem="0" numFmtId="2"/>
    <dataField name="Count of angina_sforzo" fld="8" subtotal="count" baseField="0" baseItem="0"/>
    <dataField name="Average of depressione_st" fld="9" subtotal="average" baseField="0" baseItem="0" numFmtId="2"/>
    <dataField name="Average of vasi_principali" fld="11" subtotal="average" baseField="0" baseItem="0" numFmtId="2"/>
    <dataField name="Average of pendenza_st" fld="10" subtotal="average" baseField="0" baseItem="0" numFmtId="2"/>
  </dataFields>
  <formats count="7">
    <format dxfId="16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35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46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1092-2AFF-46C0-A6AC-1A95644C1325}">
  <dimension ref="A3:D7"/>
  <sheetViews>
    <sheetView workbookViewId="0">
      <selection activeCell="A3" sqref="A3:D7"/>
      <pivotSelection pane="bottomRight" activeRow="2" previousRow="2" click="1" r:id="rId1">
        <pivotArea type="all" dataOnly="0" outline="0" fieldPosition="0"/>
      </pivotSelection>
    </sheetView>
  </sheetViews>
  <sheetFormatPr defaultRowHeight="14.4" x14ac:dyDescent="0.3"/>
  <cols>
    <col min="1" max="1" width="13.33203125" bestFit="1" customWidth="1"/>
    <col min="2" max="2" width="15.5546875" bestFit="1" customWidth="1"/>
    <col min="3" max="3" width="7" bestFit="1" customWidth="1"/>
    <col min="4" max="4" width="10.77734375" bestFit="1" customWidth="1"/>
    <col min="5" max="5" width="16.77734375" bestFit="1" customWidth="1"/>
    <col min="6" max="6" width="18.109375" bestFit="1" customWidth="1"/>
    <col min="7" max="7" width="21.6640625" bestFit="1" customWidth="1"/>
    <col min="8" max="105" width="6" bestFit="1" customWidth="1"/>
    <col min="106" max="106" width="12.6640625" bestFit="1" customWidth="1"/>
    <col min="107" max="107" width="7.21875" bestFit="1" customWidth="1"/>
    <col min="108" max="203" width="6" bestFit="1" customWidth="1"/>
    <col min="204" max="204" width="9.88671875" bestFit="1" customWidth="1"/>
    <col min="205" max="205" width="10.77734375" bestFit="1" customWidth="1"/>
  </cols>
  <sheetData>
    <row r="3" spans="1:4" x14ac:dyDescent="0.3">
      <c r="A3" s="2" t="s">
        <v>29</v>
      </c>
      <c r="B3" s="2" t="s">
        <v>28</v>
      </c>
    </row>
    <row r="4" spans="1:4" x14ac:dyDescent="0.3">
      <c r="A4" s="2" t="s">
        <v>26</v>
      </c>
      <c r="B4" t="s">
        <v>18</v>
      </c>
      <c r="C4" t="s">
        <v>25</v>
      </c>
      <c r="D4" t="s">
        <v>27</v>
      </c>
    </row>
    <row r="5" spans="1:4" x14ac:dyDescent="0.3">
      <c r="A5" s="3" t="s">
        <v>21</v>
      </c>
      <c r="B5" s="4">
        <v>0.23762376237623761</v>
      </c>
      <c r="C5" s="4">
        <v>7.9207920792079209E-2</v>
      </c>
      <c r="D5" s="4">
        <v>0.31683168316831684</v>
      </c>
    </row>
    <row r="6" spans="1:4" x14ac:dyDescent="0.3">
      <c r="A6" s="3" t="s">
        <v>14</v>
      </c>
      <c r="B6" s="4">
        <v>0.30693069306930693</v>
      </c>
      <c r="C6" s="4">
        <v>0.37623762376237624</v>
      </c>
      <c r="D6" s="4">
        <v>0.68316831683168322</v>
      </c>
    </row>
    <row r="7" spans="1:4" x14ac:dyDescent="0.3">
      <c r="A7" s="3" t="s">
        <v>27</v>
      </c>
      <c r="B7" s="4">
        <v>0.54455445544554459</v>
      </c>
      <c r="C7" s="4">
        <v>0.45544554455445546</v>
      </c>
      <c r="D7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3E33-7D83-4449-BE1A-9CC4BC583C2B}">
  <dimension ref="A3:E8"/>
  <sheetViews>
    <sheetView workbookViewId="0">
      <selection activeCell="B5" sqref="B5"/>
    </sheetView>
  </sheetViews>
  <sheetFormatPr defaultRowHeight="14.4" x14ac:dyDescent="0.3"/>
  <cols>
    <col min="1" max="1" width="23.33203125" bestFit="1" customWidth="1"/>
    <col min="2" max="2" width="15.5546875" bestFit="1" customWidth="1"/>
    <col min="3" max="3" width="10.5546875" bestFit="1" customWidth="1"/>
    <col min="4" max="4" width="7.5546875" bestFit="1" customWidth="1"/>
    <col min="5" max="5" width="10.77734375" bestFit="1" customWidth="1"/>
  </cols>
  <sheetData>
    <row r="3" spans="1:5" x14ac:dyDescent="0.3">
      <c r="A3" s="2" t="s">
        <v>31</v>
      </c>
      <c r="B3" s="2" t="s">
        <v>28</v>
      </c>
    </row>
    <row r="4" spans="1:5" x14ac:dyDescent="0.3">
      <c r="A4" s="2" t="s">
        <v>26</v>
      </c>
      <c r="B4" t="s">
        <v>16</v>
      </c>
      <c r="C4" t="s">
        <v>20</v>
      </c>
      <c r="D4" t="s">
        <v>30</v>
      </c>
      <c r="E4" t="s">
        <v>27</v>
      </c>
    </row>
    <row r="5" spans="1:5" x14ac:dyDescent="0.3">
      <c r="A5" s="3" t="s">
        <v>18</v>
      </c>
      <c r="B5" s="4">
        <v>0.51111111111111107</v>
      </c>
      <c r="C5" s="4">
        <v>0.55038759689922478</v>
      </c>
      <c r="D5" s="4" t="e">
        <v>#DIV/0!</v>
      </c>
      <c r="E5" s="4">
        <v>0.54455445544554459</v>
      </c>
    </row>
    <row r="6" spans="1:5" x14ac:dyDescent="0.3">
      <c r="A6" s="3" t="s">
        <v>25</v>
      </c>
      <c r="B6" s="4">
        <v>0.48888888888888887</v>
      </c>
      <c r="C6" s="4">
        <v>0.44961240310077522</v>
      </c>
      <c r="D6" s="4" t="e">
        <v>#DIV/0!</v>
      </c>
      <c r="E6" s="4">
        <v>0.45544554455445546</v>
      </c>
    </row>
    <row r="7" spans="1:5" x14ac:dyDescent="0.3">
      <c r="A7" s="3" t="s">
        <v>30</v>
      </c>
      <c r="B7" s="4">
        <v>0</v>
      </c>
      <c r="C7" s="4">
        <v>0</v>
      </c>
      <c r="D7" s="4" t="e">
        <v>#DIV/0!</v>
      </c>
      <c r="E7" s="4">
        <v>0</v>
      </c>
    </row>
    <row r="8" spans="1:5" x14ac:dyDescent="0.3">
      <c r="A8" s="3" t="s">
        <v>27</v>
      </c>
      <c r="B8" s="4">
        <v>1</v>
      </c>
      <c r="C8" s="4">
        <v>1</v>
      </c>
      <c r="D8" s="4" t="e">
        <v>#DIV/0!</v>
      </c>
      <c r="E8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0A7F7-66A0-4047-9D14-96ECBC012E15}">
  <dimension ref="A3:E9"/>
  <sheetViews>
    <sheetView workbookViewId="0">
      <selection activeCell="B6" sqref="B6"/>
    </sheetView>
  </sheetViews>
  <sheetFormatPr defaultRowHeight="14.4" x14ac:dyDescent="0.3"/>
  <cols>
    <col min="1" max="1" width="19.6640625" bestFit="1" customWidth="1"/>
    <col min="2" max="2" width="15.5546875" bestFit="1" customWidth="1"/>
    <col min="3" max="4" width="7.33203125" bestFit="1" customWidth="1"/>
    <col min="5" max="5" width="10.77734375" bestFit="1" customWidth="1"/>
    <col min="6" max="11" width="4" bestFit="1" customWidth="1"/>
    <col min="12" max="12" width="2" bestFit="1" customWidth="1"/>
    <col min="13" max="20" width="4" bestFit="1" customWidth="1"/>
    <col min="21" max="21" width="2" bestFit="1" customWidth="1"/>
    <col min="22" max="24" width="4" bestFit="1" customWidth="1"/>
    <col min="25" max="25" width="2" bestFit="1" customWidth="1"/>
    <col min="26" max="27" width="4" bestFit="1" customWidth="1"/>
    <col min="28" max="28" width="12.6640625" bestFit="1" customWidth="1"/>
    <col min="29" max="29" width="7.21875" bestFit="1" customWidth="1"/>
    <col min="30" max="37" width="4" bestFit="1" customWidth="1"/>
    <col min="38" max="38" width="3" bestFit="1" customWidth="1"/>
    <col min="39" max="44" width="4" bestFit="1" customWidth="1"/>
    <col min="45" max="45" width="2" bestFit="1" customWidth="1"/>
    <col min="46" max="52" width="4" bestFit="1" customWidth="1"/>
    <col min="53" max="53" width="2" bestFit="1" customWidth="1"/>
    <col min="54" max="58" width="4" bestFit="1" customWidth="1"/>
    <col min="59" max="59" width="2" bestFit="1" customWidth="1"/>
    <col min="60" max="63" width="4" bestFit="1" customWidth="1"/>
    <col min="64" max="64" width="9.88671875" bestFit="1" customWidth="1"/>
    <col min="65" max="65" width="9" bestFit="1" customWidth="1"/>
    <col min="66" max="66" width="11.6640625" bestFit="1" customWidth="1"/>
    <col min="67" max="67" width="10.77734375" bestFit="1" customWidth="1"/>
  </cols>
  <sheetData>
    <row r="3" spans="1:5" x14ac:dyDescent="0.3">
      <c r="A3" s="2" t="s">
        <v>32</v>
      </c>
      <c r="B3" s="2" t="s">
        <v>28</v>
      </c>
    </row>
    <row r="4" spans="1:5" x14ac:dyDescent="0.3">
      <c r="A4" s="2" t="s">
        <v>26</v>
      </c>
      <c r="B4" t="s">
        <v>18</v>
      </c>
      <c r="C4" t="s">
        <v>25</v>
      </c>
      <c r="D4" t="s">
        <v>30</v>
      </c>
      <c r="E4" t="s">
        <v>27</v>
      </c>
    </row>
    <row r="5" spans="1:5" x14ac:dyDescent="0.3">
      <c r="A5" s="3">
        <v>0</v>
      </c>
      <c r="B5" s="4">
        <v>0.42857142857142855</v>
      </c>
      <c r="C5" s="4">
        <v>0.5714285714285714</v>
      </c>
      <c r="D5" s="4">
        <v>0</v>
      </c>
      <c r="E5" s="4">
        <v>1</v>
      </c>
    </row>
    <row r="6" spans="1:5" x14ac:dyDescent="0.3">
      <c r="A6" s="3">
        <v>1</v>
      </c>
      <c r="B6" s="4">
        <v>0.35</v>
      </c>
      <c r="C6" s="4">
        <v>0.65</v>
      </c>
      <c r="D6" s="4">
        <v>0</v>
      </c>
      <c r="E6" s="4">
        <v>1</v>
      </c>
    </row>
    <row r="7" spans="1:5" x14ac:dyDescent="0.3">
      <c r="A7" s="3">
        <v>2</v>
      </c>
      <c r="B7" s="4">
        <v>0.75352112676056338</v>
      </c>
      <c r="C7" s="4">
        <v>0.24647887323943662</v>
      </c>
      <c r="D7" s="4">
        <v>0</v>
      </c>
      <c r="E7" s="4">
        <v>1</v>
      </c>
    </row>
    <row r="8" spans="1:5" x14ac:dyDescent="0.3">
      <c r="A8" s="3" t="s">
        <v>30</v>
      </c>
      <c r="B8" s="4" t="e">
        <v>#DIV/0!</v>
      </c>
      <c r="C8" s="4" t="e">
        <v>#DIV/0!</v>
      </c>
      <c r="D8" s="4" t="e">
        <v>#DIV/0!</v>
      </c>
      <c r="E8" s="4" t="e">
        <v>#DIV/0!</v>
      </c>
    </row>
    <row r="9" spans="1:5" x14ac:dyDescent="0.3">
      <c r="A9" s="3" t="s">
        <v>27</v>
      </c>
      <c r="B9" s="4">
        <v>0.54455445544554459</v>
      </c>
      <c r="C9" s="4">
        <v>0.45544554455445546</v>
      </c>
      <c r="D9" s="4">
        <v>0</v>
      </c>
      <c r="E9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815D-32D3-4A8F-93E2-73451DD2A1E1}">
  <dimension ref="A1:G10"/>
  <sheetViews>
    <sheetView workbookViewId="0">
      <selection activeCell="C4" sqref="C4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20.21875" bestFit="1" customWidth="1"/>
    <col min="4" max="4" width="15.88671875" bestFit="1" customWidth="1"/>
    <col min="5" max="5" width="20.21875" bestFit="1" customWidth="1"/>
    <col min="6" max="6" width="20.6640625" bestFit="1" customWidth="1"/>
    <col min="7" max="7" width="25" bestFit="1" customWidth="1"/>
  </cols>
  <sheetData>
    <row r="1" spans="1:7" x14ac:dyDescent="0.3">
      <c r="A1" s="2" t="s">
        <v>8</v>
      </c>
      <c r="B1" t="s">
        <v>17</v>
      </c>
    </row>
    <row r="2" spans="1:7" x14ac:dyDescent="0.3">
      <c r="A2" s="2" t="s">
        <v>1</v>
      </c>
      <c r="B2" t="s">
        <v>21</v>
      </c>
    </row>
    <row r="4" spans="1:7" x14ac:dyDescent="0.3">
      <c r="B4" s="2" t="s">
        <v>28</v>
      </c>
    </row>
    <row r="5" spans="1:7" x14ac:dyDescent="0.3">
      <c r="B5" t="s">
        <v>18</v>
      </c>
      <c r="D5" t="s">
        <v>25</v>
      </c>
      <c r="F5" t="s">
        <v>34</v>
      </c>
      <c r="G5" t="s">
        <v>35</v>
      </c>
    </row>
    <row r="6" spans="1:7" x14ac:dyDescent="0.3">
      <c r="A6" s="2" t="s">
        <v>26</v>
      </c>
      <c r="B6" t="s">
        <v>33</v>
      </c>
      <c r="C6" t="s">
        <v>36</v>
      </c>
      <c r="D6" t="s">
        <v>33</v>
      </c>
      <c r="E6" t="s">
        <v>36</v>
      </c>
    </row>
    <row r="7" spans="1:7" x14ac:dyDescent="0.3">
      <c r="A7" s="3">
        <v>0</v>
      </c>
      <c r="B7">
        <v>1</v>
      </c>
      <c r="C7">
        <v>2.6</v>
      </c>
      <c r="D7">
        <v>2</v>
      </c>
      <c r="E7">
        <v>9.8000000000000007</v>
      </c>
      <c r="F7">
        <v>3</v>
      </c>
      <c r="G7">
        <v>12.4</v>
      </c>
    </row>
    <row r="8" spans="1:7" x14ac:dyDescent="0.3">
      <c r="A8" s="3">
        <v>1</v>
      </c>
      <c r="B8">
        <v>24</v>
      </c>
      <c r="C8">
        <v>19.299999999999997</v>
      </c>
      <c r="D8">
        <v>6</v>
      </c>
      <c r="E8">
        <v>10.700000000000001</v>
      </c>
      <c r="F8">
        <v>30</v>
      </c>
      <c r="G8">
        <v>29.999999999999996</v>
      </c>
    </row>
    <row r="9" spans="1:7" x14ac:dyDescent="0.3">
      <c r="A9" s="3">
        <v>2</v>
      </c>
      <c r="B9">
        <v>39</v>
      </c>
      <c r="C9">
        <v>15.6</v>
      </c>
      <c r="D9">
        <v>2</v>
      </c>
      <c r="E9">
        <v>0</v>
      </c>
      <c r="F9">
        <v>41</v>
      </c>
      <c r="G9">
        <v>15.6</v>
      </c>
    </row>
    <row r="10" spans="1:7" x14ac:dyDescent="0.3">
      <c r="A10" s="3" t="s">
        <v>27</v>
      </c>
      <c r="B10">
        <v>64</v>
      </c>
      <c r="C10">
        <v>37.500000000000007</v>
      </c>
      <c r="D10">
        <v>10</v>
      </c>
      <c r="E10">
        <v>20.500000000000004</v>
      </c>
      <c r="F10">
        <v>74</v>
      </c>
      <c r="G10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4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2" max="2" width="8.44140625" bestFit="1" customWidth="1"/>
    <col min="3" max="3" width="18.109375" bestFit="1" customWidth="1"/>
    <col min="4" max="4" width="15.33203125" bestFit="1" customWidth="1"/>
    <col min="5" max="5" width="10.21875" bestFit="1" customWidth="1"/>
    <col min="6" max="6" width="15.33203125" bestFit="1" customWidth="1"/>
    <col min="7" max="7" width="10.109375" bestFit="1" customWidth="1"/>
    <col min="8" max="8" width="17.21875" bestFit="1" customWidth="1"/>
    <col min="9" max="9" width="12.77734375" bestFit="1" customWidth="1"/>
    <col min="10" max="10" width="13.6640625" bestFit="1" customWidth="1"/>
    <col min="11" max="11" width="11.6640625" bestFit="1" customWidth="1"/>
    <col min="12" max="12" width="12.88671875" bestFit="1" customWidth="1"/>
    <col min="13" max="13" width="9.77734375" bestFit="1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63</v>
      </c>
      <c r="B2" t="s">
        <v>14</v>
      </c>
      <c r="C2" t="s">
        <v>15</v>
      </c>
      <c r="D2">
        <v>145</v>
      </c>
      <c r="E2">
        <v>233</v>
      </c>
      <c r="F2" t="s">
        <v>16</v>
      </c>
      <c r="G2">
        <v>0</v>
      </c>
      <c r="H2">
        <v>150</v>
      </c>
      <c r="I2" t="s">
        <v>17</v>
      </c>
      <c r="J2">
        <v>2.2999999999999998</v>
      </c>
      <c r="K2">
        <v>0</v>
      </c>
      <c r="L2">
        <v>0</v>
      </c>
      <c r="M2">
        <v>1</v>
      </c>
      <c r="N2" t="s">
        <v>18</v>
      </c>
    </row>
    <row r="3" spans="1:14" x14ac:dyDescent="0.3">
      <c r="A3">
        <v>37</v>
      </c>
      <c r="B3" t="s">
        <v>14</v>
      </c>
      <c r="C3" t="s">
        <v>19</v>
      </c>
      <c r="D3">
        <v>130</v>
      </c>
      <c r="E3">
        <v>250</v>
      </c>
      <c r="F3" t="s">
        <v>20</v>
      </c>
      <c r="G3">
        <v>1</v>
      </c>
      <c r="H3">
        <v>187</v>
      </c>
      <c r="I3" t="s">
        <v>17</v>
      </c>
      <c r="J3">
        <v>3.5</v>
      </c>
      <c r="K3">
        <v>0</v>
      </c>
      <c r="L3">
        <v>0</v>
      </c>
      <c r="M3">
        <v>2</v>
      </c>
      <c r="N3" t="s">
        <v>18</v>
      </c>
    </row>
    <row r="4" spans="1:14" x14ac:dyDescent="0.3">
      <c r="A4">
        <v>41</v>
      </c>
      <c r="B4" t="s">
        <v>21</v>
      </c>
      <c r="C4" t="s">
        <v>22</v>
      </c>
      <c r="D4">
        <v>130</v>
      </c>
      <c r="E4">
        <v>204</v>
      </c>
      <c r="F4" t="s">
        <v>20</v>
      </c>
      <c r="G4">
        <v>0</v>
      </c>
      <c r="H4">
        <v>172</v>
      </c>
      <c r="I4" t="s">
        <v>17</v>
      </c>
      <c r="J4">
        <v>1.4</v>
      </c>
      <c r="K4">
        <v>2</v>
      </c>
      <c r="L4">
        <v>0</v>
      </c>
      <c r="M4">
        <v>2</v>
      </c>
      <c r="N4" t="s">
        <v>18</v>
      </c>
    </row>
    <row r="5" spans="1:14" x14ac:dyDescent="0.3">
      <c r="A5">
        <v>56</v>
      </c>
      <c r="B5" t="s">
        <v>14</v>
      </c>
      <c r="C5" t="s">
        <v>22</v>
      </c>
      <c r="D5">
        <v>120</v>
      </c>
      <c r="E5">
        <v>236</v>
      </c>
      <c r="F5" t="s">
        <v>20</v>
      </c>
      <c r="G5">
        <v>1</v>
      </c>
      <c r="H5">
        <v>178</v>
      </c>
      <c r="I5" t="s">
        <v>17</v>
      </c>
      <c r="J5">
        <v>0.8</v>
      </c>
      <c r="K5">
        <v>2</v>
      </c>
      <c r="L5">
        <v>0</v>
      </c>
      <c r="M5">
        <v>2</v>
      </c>
      <c r="N5" t="s">
        <v>18</v>
      </c>
    </row>
    <row r="6" spans="1:14" x14ac:dyDescent="0.3">
      <c r="A6">
        <v>57</v>
      </c>
      <c r="B6" t="s">
        <v>21</v>
      </c>
      <c r="C6" t="s">
        <v>23</v>
      </c>
      <c r="D6">
        <v>120</v>
      </c>
      <c r="E6">
        <v>354</v>
      </c>
      <c r="F6" t="s">
        <v>20</v>
      </c>
      <c r="G6">
        <v>1</v>
      </c>
      <c r="H6">
        <v>163</v>
      </c>
      <c r="I6" t="s">
        <v>24</v>
      </c>
      <c r="J6">
        <v>0.6</v>
      </c>
      <c r="K6">
        <v>2</v>
      </c>
      <c r="L6">
        <v>0</v>
      </c>
      <c r="M6">
        <v>2</v>
      </c>
      <c r="N6" t="s">
        <v>18</v>
      </c>
    </row>
    <row r="7" spans="1:14" x14ac:dyDescent="0.3">
      <c r="A7">
        <v>57</v>
      </c>
      <c r="B7" t="s">
        <v>14</v>
      </c>
      <c r="C7" t="s">
        <v>23</v>
      </c>
      <c r="D7">
        <v>140</v>
      </c>
      <c r="E7">
        <v>192</v>
      </c>
      <c r="F7" t="s">
        <v>20</v>
      </c>
      <c r="G7">
        <v>1</v>
      </c>
      <c r="H7">
        <v>148</v>
      </c>
      <c r="I7" t="s">
        <v>17</v>
      </c>
      <c r="J7">
        <v>0.4</v>
      </c>
      <c r="K7">
        <v>1</v>
      </c>
      <c r="L7">
        <v>0</v>
      </c>
      <c r="M7">
        <v>1</v>
      </c>
      <c r="N7" t="s">
        <v>18</v>
      </c>
    </row>
    <row r="8" spans="1:14" x14ac:dyDescent="0.3">
      <c r="A8">
        <v>56</v>
      </c>
      <c r="B8" t="s">
        <v>21</v>
      </c>
      <c r="C8" t="s">
        <v>22</v>
      </c>
      <c r="D8">
        <v>140</v>
      </c>
      <c r="E8">
        <v>294</v>
      </c>
      <c r="F8" t="s">
        <v>20</v>
      </c>
      <c r="G8">
        <v>0</v>
      </c>
      <c r="H8">
        <v>153</v>
      </c>
      <c r="I8" t="s">
        <v>17</v>
      </c>
      <c r="J8">
        <v>1.3</v>
      </c>
      <c r="K8">
        <v>1</v>
      </c>
      <c r="L8">
        <v>0</v>
      </c>
      <c r="M8">
        <v>2</v>
      </c>
      <c r="N8" t="s">
        <v>18</v>
      </c>
    </row>
    <row r="9" spans="1:14" x14ac:dyDescent="0.3">
      <c r="A9">
        <v>44</v>
      </c>
      <c r="B9" t="s">
        <v>14</v>
      </c>
      <c r="C9" t="s">
        <v>22</v>
      </c>
      <c r="D9">
        <v>120</v>
      </c>
      <c r="E9">
        <v>263</v>
      </c>
      <c r="F9" t="s">
        <v>20</v>
      </c>
      <c r="G9">
        <v>1</v>
      </c>
      <c r="H9">
        <v>173</v>
      </c>
      <c r="I9" t="s">
        <v>17</v>
      </c>
      <c r="J9">
        <v>0</v>
      </c>
      <c r="K9">
        <v>2</v>
      </c>
      <c r="L9">
        <v>0</v>
      </c>
      <c r="M9">
        <v>3</v>
      </c>
      <c r="N9" t="s">
        <v>18</v>
      </c>
    </row>
    <row r="10" spans="1:14" x14ac:dyDescent="0.3">
      <c r="A10">
        <v>52</v>
      </c>
      <c r="B10" t="s">
        <v>14</v>
      </c>
      <c r="C10" t="s">
        <v>19</v>
      </c>
      <c r="D10">
        <v>172</v>
      </c>
      <c r="E10">
        <v>199</v>
      </c>
      <c r="F10" t="s">
        <v>16</v>
      </c>
      <c r="G10">
        <v>1</v>
      </c>
      <c r="H10">
        <v>162</v>
      </c>
      <c r="I10" t="s">
        <v>17</v>
      </c>
      <c r="J10">
        <v>0.5</v>
      </c>
      <c r="K10">
        <v>2</v>
      </c>
      <c r="L10">
        <v>0</v>
      </c>
      <c r="M10">
        <v>3</v>
      </c>
      <c r="N10" t="s">
        <v>18</v>
      </c>
    </row>
    <row r="11" spans="1:14" x14ac:dyDescent="0.3">
      <c r="A11">
        <v>57</v>
      </c>
      <c r="B11" t="s">
        <v>14</v>
      </c>
      <c r="C11" t="s">
        <v>19</v>
      </c>
      <c r="D11">
        <v>150</v>
      </c>
      <c r="E11">
        <v>168</v>
      </c>
      <c r="F11" t="s">
        <v>20</v>
      </c>
      <c r="G11">
        <v>1</v>
      </c>
      <c r="H11">
        <v>174</v>
      </c>
      <c r="I11" t="s">
        <v>17</v>
      </c>
      <c r="J11">
        <v>1.6</v>
      </c>
      <c r="K11">
        <v>2</v>
      </c>
      <c r="L11">
        <v>0</v>
      </c>
      <c r="M11">
        <v>2</v>
      </c>
      <c r="N11" t="s">
        <v>18</v>
      </c>
    </row>
    <row r="12" spans="1:14" x14ac:dyDescent="0.3">
      <c r="A12">
        <v>54</v>
      </c>
      <c r="B12" t="s">
        <v>14</v>
      </c>
      <c r="C12" t="s">
        <v>23</v>
      </c>
      <c r="D12">
        <v>140</v>
      </c>
      <c r="E12">
        <v>239</v>
      </c>
      <c r="F12" t="s">
        <v>20</v>
      </c>
      <c r="G12">
        <v>1</v>
      </c>
      <c r="H12">
        <v>160</v>
      </c>
      <c r="I12" t="s">
        <v>17</v>
      </c>
      <c r="J12">
        <v>1.2</v>
      </c>
      <c r="K12">
        <v>2</v>
      </c>
      <c r="L12">
        <v>0</v>
      </c>
      <c r="M12">
        <v>2</v>
      </c>
      <c r="N12" t="s">
        <v>18</v>
      </c>
    </row>
    <row r="13" spans="1:14" x14ac:dyDescent="0.3">
      <c r="A13">
        <v>48</v>
      </c>
      <c r="B13" t="s">
        <v>21</v>
      </c>
      <c r="C13" t="s">
        <v>19</v>
      </c>
      <c r="D13">
        <v>130</v>
      </c>
      <c r="E13">
        <v>275</v>
      </c>
      <c r="F13" t="s">
        <v>20</v>
      </c>
      <c r="G13">
        <v>1</v>
      </c>
      <c r="H13">
        <v>139</v>
      </c>
      <c r="I13" t="s">
        <v>17</v>
      </c>
      <c r="J13">
        <v>0.2</v>
      </c>
      <c r="K13">
        <v>2</v>
      </c>
      <c r="L13">
        <v>0</v>
      </c>
      <c r="M13">
        <v>2</v>
      </c>
      <c r="N13" t="s">
        <v>18</v>
      </c>
    </row>
    <row r="14" spans="1:14" x14ac:dyDescent="0.3">
      <c r="A14">
        <v>49</v>
      </c>
      <c r="B14" t="s">
        <v>14</v>
      </c>
      <c r="C14" t="s">
        <v>22</v>
      </c>
      <c r="D14">
        <v>130</v>
      </c>
      <c r="E14">
        <v>266</v>
      </c>
      <c r="F14" t="s">
        <v>20</v>
      </c>
      <c r="G14">
        <v>1</v>
      </c>
      <c r="H14">
        <v>171</v>
      </c>
      <c r="I14" t="s">
        <v>17</v>
      </c>
      <c r="J14">
        <v>0.6</v>
      </c>
      <c r="K14">
        <v>2</v>
      </c>
      <c r="L14">
        <v>0</v>
      </c>
      <c r="M14">
        <v>2</v>
      </c>
      <c r="N14" t="s">
        <v>18</v>
      </c>
    </row>
    <row r="15" spans="1:14" x14ac:dyDescent="0.3">
      <c r="A15">
        <v>64</v>
      </c>
      <c r="B15" t="s">
        <v>14</v>
      </c>
      <c r="C15" t="s">
        <v>15</v>
      </c>
      <c r="D15">
        <v>110</v>
      </c>
      <c r="E15">
        <v>211</v>
      </c>
      <c r="F15" t="s">
        <v>20</v>
      </c>
      <c r="G15">
        <v>0</v>
      </c>
      <c r="H15">
        <v>144</v>
      </c>
      <c r="I15" t="s">
        <v>24</v>
      </c>
      <c r="J15">
        <v>1.8</v>
      </c>
      <c r="K15">
        <v>1</v>
      </c>
      <c r="L15">
        <v>0</v>
      </c>
      <c r="M15">
        <v>2</v>
      </c>
      <c r="N15" t="s">
        <v>18</v>
      </c>
    </row>
    <row r="16" spans="1:14" x14ac:dyDescent="0.3">
      <c r="A16">
        <v>58</v>
      </c>
      <c r="B16" t="s">
        <v>21</v>
      </c>
      <c r="C16" t="s">
        <v>15</v>
      </c>
      <c r="D16">
        <v>150</v>
      </c>
      <c r="E16">
        <v>283</v>
      </c>
      <c r="F16" t="s">
        <v>16</v>
      </c>
      <c r="G16">
        <v>0</v>
      </c>
      <c r="H16">
        <v>162</v>
      </c>
      <c r="I16" t="s">
        <v>17</v>
      </c>
      <c r="J16">
        <v>1</v>
      </c>
      <c r="K16">
        <v>2</v>
      </c>
      <c r="L16">
        <v>0</v>
      </c>
      <c r="M16">
        <v>2</v>
      </c>
      <c r="N16" t="s">
        <v>18</v>
      </c>
    </row>
    <row r="17" spans="1:14" x14ac:dyDescent="0.3">
      <c r="A17">
        <v>50</v>
      </c>
      <c r="B17" t="s">
        <v>21</v>
      </c>
      <c r="C17" t="s">
        <v>19</v>
      </c>
      <c r="D17">
        <v>120</v>
      </c>
      <c r="E17">
        <v>219</v>
      </c>
      <c r="F17" t="s">
        <v>20</v>
      </c>
      <c r="G17">
        <v>1</v>
      </c>
      <c r="H17">
        <v>158</v>
      </c>
      <c r="I17" t="s">
        <v>17</v>
      </c>
      <c r="J17">
        <v>1.6</v>
      </c>
      <c r="K17">
        <v>1</v>
      </c>
      <c r="L17">
        <v>0</v>
      </c>
      <c r="M17">
        <v>2</v>
      </c>
      <c r="N17" t="s">
        <v>18</v>
      </c>
    </row>
    <row r="18" spans="1:14" x14ac:dyDescent="0.3">
      <c r="A18">
        <v>58</v>
      </c>
      <c r="B18" t="s">
        <v>21</v>
      </c>
      <c r="C18" t="s">
        <v>19</v>
      </c>
      <c r="D18">
        <v>120</v>
      </c>
      <c r="E18">
        <v>340</v>
      </c>
      <c r="F18" t="s">
        <v>20</v>
      </c>
      <c r="G18">
        <v>1</v>
      </c>
      <c r="H18">
        <v>172</v>
      </c>
      <c r="I18" t="s">
        <v>17</v>
      </c>
      <c r="J18">
        <v>0</v>
      </c>
      <c r="K18">
        <v>2</v>
      </c>
      <c r="L18">
        <v>0</v>
      </c>
      <c r="M18">
        <v>2</v>
      </c>
      <c r="N18" t="s">
        <v>18</v>
      </c>
    </row>
    <row r="19" spans="1:14" x14ac:dyDescent="0.3">
      <c r="A19">
        <v>66</v>
      </c>
      <c r="B19" t="s">
        <v>21</v>
      </c>
      <c r="C19" t="s">
        <v>15</v>
      </c>
      <c r="D19">
        <v>150</v>
      </c>
      <c r="E19">
        <v>226</v>
      </c>
      <c r="F19" t="s">
        <v>20</v>
      </c>
      <c r="G19">
        <v>1</v>
      </c>
      <c r="H19">
        <v>114</v>
      </c>
      <c r="I19" t="s">
        <v>17</v>
      </c>
      <c r="J19">
        <v>2.6</v>
      </c>
      <c r="K19">
        <v>0</v>
      </c>
      <c r="L19">
        <v>0</v>
      </c>
      <c r="M19">
        <v>2</v>
      </c>
      <c r="N19" t="s">
        <v>18</v>
      </c>
    </row>
    <row r="20" spans="1:14" x14ac:dyDescent="0.3">
      <c r="A20">
        <v>43</v>
      </c>
      <c r="B20" t="s">
        <v>14</v>
      </c>
      <c r="C20" t="s">
        <v>23</v>
      </c>
      <c r="D20">
        <v>150</v>
      </c>
      <c r="E20">
        <v>247</v>
      </c>
      <c r="F20" t="s">
        <v>20</v>
      </c>
      <c r="G20">
        <v>1</v>
      </c>
      <c r="H20">
        <v>171</v>
      </c>
      <c r="I20" t="s">
        <v>17</v>
      </c>
      <c r="J20">
        <v>1.5</v>
      </c>
      <c r="K20">
        <v>2</v>
      </c>
      <c r="L20">
        <v>0</v>
      </c>
      <c r="M20">
        <v>2</v>
      </c>
      <c r="N20" t="s">
        <v>18</v>
      </c>
    </row>
    <row r="21" spans="1:14" x14ac:dyDescent="0.3">
      <c r="A21">
        <v>69</v>
      </c>
      <c r="B21" t="s">
        <v>21</v>
      </c>
      <c r="C21" t="s">
        <v>15</v>
      </c>
      <c r="D21">
        <v>140</v>
      </c>
      <c r="E21">
        <v>239</v>
      </c>
      <c r="F21" t="s">
        <v>20</v>
      </c>
      <c r="G21">
        <v>1</v>
      </c>
      <c r="H21">
        <v>151</v>
      </c>
      <c r="I21" t="s">
        <v>17</v>
      </c>
      <c r="J21">
        <v>1.8</v>
      </c>
      <c r="K21">
        <v>2</v>
      </c>
      <c r="L21">
        <v>2</v>
      </c>
      <c r="M21">
        <v>2</v>
      </c>
      <c r="N21" t="s">
        <v>18</v>
      </c>
    </row>
    <row r="22" spans="1:14" x14ac:dyDescent="0.3">
      <c r="A22">
        <v>59</v>
      </c>
      <c r="B22" t="s">
        <v>14</v>
      </c>
      <c r="C22" t="s">
        <v>23</v>
      </c>
      <c r="D22">
        <v>135</v>
      </c>
      <c r="E22">
        <v>234</v>
      </c>
      <c r="F22" t="s">
        <v>20</v>
      </c>
      <c r="G22">
        <v>1</v>
      </c>
      <c r="H22">
        <v>161</v>
      </c>
      <c r="I22" t="s">
        <v>17</v>
      </c>
      <c r="J22">
        <v>0.5</v>
      </c>
      <c r="K22">
        <v>1</v>
      </c>
      <c r="L22">
        <v>0</v>
      </c>
      <c r="M22">
        <v>3</v>
      </c>
      <c r="N22" t="s">
        <v>18</v>
      </c>
    </row>
    <row r="23" spans="1:14" x14ac:dyDescent="0.3">
      <c r="A23">
        <v>44</v>
      </c>
      <c r="B23" t="s">
        <v>14</v>
      </c>
      <c r="C23" t="s">
        <v>19</v>
      </c>
      <c r="D23">
        <v>130</v>
      </c>
      <c r="E23">
        <v>233</v>
      </c>
      <c r="F23" t="s">
        <v>20</v>
      </c>
      <c r="G23">
        <v>1</v>
      </c>
      <c r="H23">
        <v>179</v>
      </c>
      <c r="I23" t="s">
        <v>24</v>
      </c>
      <c r="J23">
        <v>0.4</v>
      </c>
      <c r="K23">
        <v>2</v>
      </c>
      <c r="L23">
        <v>0</v>
      </c>
      <c r="M23">
        <v>2</v>
      </c>
      <c r="N23" t="s">
        <v>18</v>
      </c>
    </row>
    <row r="24" spans="1:14" x14ac:dyDescent="0.3">
      <c r="A24">
        <v>42</v>
      </c>
      <c r="B24" t="s">
        <v>14</v>
      </c>
      <c r="C24" t="s">
        <v>23</v>
      </c>
      <c r="D24">
        <v>140</v>
      </c>
      <c r="E24">
        <v>226</v>
      </c>
      <c r="F24" t="s">
        <v>20</v>
      </c>
      <c r="G24">
        <v>1</v>
      </c>
      <c r="H24">
        <v>178</v>
      </c>
      <c r="I24" t="s">
        <v>17</v>
      </c>
      <c r="J24">
        <v>0</v>
      </c>
      <c r="K24">
        <v>2</v>
      </c>
      <c r="L24">
        <v>0</v>
      </c>
      <c r="M24">
        <v>2</v>
      </c>
      <c r="N24" t="s">
        <v>18</v>
      </c>
    </row>
    <row r="25" spans="1:14" x14ac:dyDescent="0.3">
      <c r="A25">
        <v>61</v>
      </c>
      <c r="B25" t="s">
        <v>14</v>
      </c>
      <c r="C25" t="s">
        <v>19</v>
      </c>
      <c r="D25">
        <v>150</v>
      </c>
      <c r="E25">
        <v>243</v>
      </c>
      <c r="F25" t="s">
        <v>16</v>
      </c>
      <c r="G25">
        <v>1</v>
      </c>
      <c r="H25">
        <v>137</v>
      </c>
      <c r="I25" t="s">
        <v>24</v>
      </c>
      <c r="J25">
        <v>1</v>
      </c>
      <c r="K25">
        <v>1</v>
      </c>
      <c r="L25">
        <v>0</v>
      </c>
      <c r="M25">
        <v>2</v>
      </c>
      <c r="N25" t="s">
        <v>18</v>
      </c>
    </row>
    <row r="26" spans="1:14" x14ac:dyDescent="0.3">
      <c r="A26">
        <v>40</v>
      </c>
      <c r="B26" t="s">
        <v>14</v>
      </c>
      <c r="C26" t="s">
        <v>15</v>
      </c>
      <c r="D26">
        <v>140</v>
      </c>
      <c r="E26">
        <v>199</v>
      </c>
      <c r="F26" t="s">
        <v>20</v>
      </c>
      <c r="G26">
        <v>1</v>
      </c>
      <c r="H26">
        <v>178</v>
      </c>
      <c r="I26" t="s">
        <v>24</v>
      </c>
      <c r="J26">
        <v>1.4</v>
      </c>
      <c r="K26">
        <v>2</v>
      </c>
      <c r="L26">
        <v>0</v>
      </c>
      <c r="M26">
        <v>3</v>
      </c>
      <c r="N26" t="s">
        <v>18</v>
      </c>
    </row>
    <row r="27" spans="1:14" x14ac:dyDescent="0.3">
      <c r="A27">
        <v>71</v>
      </c>
      <c r="B27" t="s">
        <v>21</v>
      </c>
      <c r="C27" t="s">
        <v>22</v>
      </c>
      <c r="D27">
        <v>160</v>
      </c>
      <c r="E27">
        <v>302</v>
      </c>
      <c r="F27" t="s">
        <v>20</v>
      </c>
      <c r="G27">
        <v>1</v>
      </c>
      <c r="H27">
        <v>162</v>
      </c>
      <c r="I27" t="s">
        <v>17</v>
      </c>
      <c r="J27">
        <v>0.4</v>
      </c>
      <c r="K27">
        <v>2</v>
      </c>
      <c r="L27">
        <v>2</v>
      </c>
      <c r="M27">
        <v>2</v>
      </c>
      <c r="N27" t="s">
        <v>18</v>
      </c>
    </row>
    <row r="28" spans="1:14" x14ac:dyDescent="0.3">
      <c r="A28">
        <v>59</v>
      </c>
      <c r="B28" t="s">
        <v>14</v>
      </c>
      <c r="C28" t="s">
        <v>19</v>
      </c>
      <c r="D28">
        <v>150</v>
      </c>
      <c r="E28">
        <v>212</v>
      </c>
      <c r="F28" t="s">
        <v>16</v>
      </c>
      <c r="G28">
        <v>1</v>
      </c>
      <c r="H28">
        <v>157</v>
      </c>
      <c r="I28" t="s">
        <v>17</v>
      </c>
      <c r="J28">
        <v>1.6</v>
      </c>
      <c r="K28">
        <v>2</v>
      </c>
      <c r="L28">
        <v>0</v>
      </c>
      <c r="M28">
        <v>2</v>
      </c>
      <c r="N28" t="s">
        <v>18</v>
      </c>
    </row>
    <row r="29" spans="1:14" x14ac:dyDescent="0.3">
      <c r="A29">
        <v>51</v>
      </c>
      <c r="B29" t="s">
        <v>14</v>
      </c>
      <c r="C29" t="s">
        <v>19</v>
      </c>
      <c r="D29">
        <v>110</v>
      </c>
      <c r="E29">
        <v>175</v>
      </c>
      <c r="F29" t="s">
        <v>20</v>
      </c>
      <c r="G29">
        <v>1</v>
      </c>
      <c r="H29">
        <v>123</v>
      </c>
      <c r="I29" t="s">
        <v>17</v>
      </c>
      <c r="J29">
        <v>0.6</v>
      </c>
      <c r="K29">
        <v>2</v>
      </c>
      <c r="L29">
        <v>0</v>
      </c>
      <c r="M29">
        <v>2</v>
      </c>
      <c r="N29" t="s">
        <v>18</v>
      </c>
    </row>
    <row r="30" spans="1:14" x14ac:dyDescent="0.3">
      <c r="A30">
        <v>65</v>
      </c>
      <c r="B30" t="s">
        <v>21</v>
      </c>
      <c r="C30" t="s">
        <v>19</v>
      </c>
      <c r="D30">
        <v>140</v>
      </c>
      <c r="E30">
        <v>417</v>
      </c>
      <c r="F30" t="s">
        <v>16</v>
      </c>
      <c r="G30">
        <v>0</v>
      </c>
      <c r="H30">
        <v>157</v>
      </c>
      <c r="I30" t="s">
        <v>17</v>
      </c>
      <c r="J30">
        <v>0.8</v>
      </c>
      <c r="K30">
        <v>2</v>
      </c>
      <c r="L30">
        <v>1</v>
      </c>
      <c r="M30">
        <v>2</v>
      </c>
      <c r="N30" t="s">
        <v>18</v>
      </c>
    </row>
    <row r="31" spans="1:14" x14ac:dyDescent="0.3">
      <c r="A31">
        <v>53</v>
      </c>
      <c r="B31" t="s">
        <v>14</v>
      </c>
      <c r="C31" t="s">
        <v>19</v>
      </c>
      <c r="D31">
        <v>130</v>
      </c>
      <c r="E31">
        <v>197</v>
      </c>
      <c r="F31" t="s">
        <v>16</v>
      </c>
      <c r="G31">
        <v>0</v>
      </c>
      <c r="H31">
        <v>152</v>
      </c>
      <c r="I31" t="s">
        <v>17</v>
      </c>
      <c r="J31">
        <v>1.2</v>
      </c>
      <c r="K31">
        <v>0</v>
      </c>
      <c r="L31">
        <v>0</v>
      </c>
      <c r="M31">
        <v>2</v>
      </c>
      <c r="N31" t="s">
        <v>18</v>
      </c>
    </row>
    <row r="32" spans="1:14" x14ac:dyDescent="0.3">
      <c r="A32">
        <v>41</v>
      </c>
      <c r="B32" t="s">
        <v>21</v>
      </c>
      <c r="C32" t="s">
        <v>22</v>
      </c>
      <c r="D32">
        <v>105</v>
      </c>
      <c r="E32">
        <v>198</v>
      </c>
      <c r="F32" t="s">
        <v>20</v>
      </c>
      <c r="G32">
        <v>1</v>
      </c>
      <c r="H32">
        <v>168</v>
      </c>
      <c r="I32" t="s">
        <v>17</v>
      </c>
      <c r="J32">
        <v>0</v>
      </c>
      <c r="K32">
        <v>2</v>
      </c>
      <c r="L32">
        <v>1</v>
      </c>
      <c r="M32">
        <v>2</v>
      </c>
      <c r="N32" t="s">
        <v>18</v>
      </c>
    </row>
    <row r="33" spans="1:14" x14ac:dyDescent="0.3">
      <c r="A33">
        <v>65</v>
      </c>
      <c r="B33" t="s">
        <v>14</v>
      </c>
      <c r="C33" t="s">
        <v>23</v>
      </c>
      <c r="D33">
        <v>120</v>
      </c>
      <c r="E33">
        <v>177</v>
      </c>
      <c r="F33" t="s">
        <v>20</v>
      </c>
      <c r="G33">
        <v>1</v>
      </c>
      <c r="H33">
        <v>140</v>
      </c>
      <c r="I33" t="s">
        <v>17</v>
      </c>
      <c r="J33">
        <v>0.4</v>
      </c>
      <c r="K33">
        <v>2</v>
      </c>
      <c r="L33">
        <v>0</v>
      </c>
      <c r="M33">
        <v>3</v>
      </c>
      <c r="N33" t="s">
        <v>18</v>
      </c>
    </row>
    <row r="34" spans="1:14" x14ac:dyDescent="0.3">
      <c r="A34">
        <v>44</v>
      </c>
      <c r="B34" t="s">
        <v>14</v>
      </c>
      <c r="C34" t="s">
        <v>22</v>
      </c>
      <c r="D34">
        <v>130</v>
      </c>
      <c r="E34">
        <v>219</v>
      </c>
      <c r="F34" t="s">
        <v>20</v>
      </c>
      <c r="G34">
        <v>0</v>
      </c>
      <c r="H34">
        <v>188</v>
      </c>
      <c r="I34" t="s">
        <v>17</v>
      </c>
      <c r="J34">
        <v>0</v>
      </c>
      <c r="K34">
        <v>2</v>
      </c>
      <c r="L34">
        <v>0</v>
      </c>
      <c r="M34">
        <v>2</v>
      </c>
      <c r="N34" t="s">
        <v>18</v>
      </c>
    </row>
    <row r="35" spans="1:14" x14ac:dyDescent="0.3">
      <c r="A35">
        <v>54</v>
      </c>
      <c r="B35" t="s">
        <v>14</v>
      </c>
      <c r="C35" t="s">
        <v>19</v>
      </c>
      <c r="D35">
        <v>125</v>
      </c>
      <c r="E35">
        <v>273</v>
      </c>
      <c r="F35" t="s">
        <v>20</v>
      </c>
      <c r="G35">
        <v>0</v>
      </c>
      <c r="H35">
        <v>152</v>
      </c>
      <c r="I35" t="s">
        <v>17</v>
      </c>
      <c r="J35">
        <v>0.5</v>
      </c>
      <c r="K35">
        <v>0</v>
      </c>
      <c r="L35">
        <v>1</v>
      </c>
      <c r="M35">
        <v>2</v>
      </c>
      <c r="N35" t="s">
        <v>18</v>
      </c>
    </row>
    <row r="36" spans="1:14" x14ac:dyDescent="0.3">
      <c r="A36">
        <v>51</v>
      </c>
      <c r="B36" t="s">
        <v>14</v>
      </c>
      <c r="C36" t="s">
        <v>15</v>
      </c>
      <c r="D36">
        <v>125</v>
      </c>
      <c r="E36">
        <v>213</v>
      </c>
      <c r="F36" t="s">
        <v>20</v>
      </c>
      <c r="G36">
        <v>0</v>
      </c>
      <c r="H36">
        <v>125</v>
      </c>
      <c r="I36" t="s">
        <v>24</v>
      </c>
      <c r="J36">
        <v>1.4</v>
      </c>
      <c r="K36">
        <v>2</v>
      </c>
      <c r="L36">
        <v>1</v>
      </c>
      <c r="M36">
        <v>2</v>
      </c>
      <c r="N36" t="s">
        <v>18</v>
      </c>
    </row>
    <row r="37" spans="1:14" x14ac:dyDescent="0.3">
      <c r="A37">
        <v>46</v>
      </c>
      <c r="B37" t="s">
        <v>21</v>
      </c>
      <c r="C37" t="s">
        <v>19</v>
      </c>
      <c r="D37">
        <v>142</v>
      </c>
      <c r="E37">
        <v>177</v>
      </c>
      <c r="F37" t="s">
        <v>20</v>
      </c>
      <c r="G37">
        <v>0</v>
      </c>
      <c r="H37">
        <v>160</v>
      </c>
      <c r="I37" t="s">
        <v>24</v>
      </c>
      <c r="J37">
        <v>1.4</v>
      </c>
      <c r="K37">
        <v>0</v>
      </c>
      <c r="L37">
        <v>0</v>
      </c>
      <c r="M37">
        <v>2</v>
      </c>
      <c r="N37" t="s">
        <v>18</v>
      </c>
    </row>
    <row r="38" spans="1:14" x14ac:dyDescent="0.3">
      <c r="A38">
        <v>54</v>
      </c>
      <c r="B38" t="s">
        <v>21</v>
      </c>
      <c r="C38" t="s">
        <v>19</v>
      </c>
      <c r="D38">
        <v>135</v>
      </c>
      <c r="E38">
        <v>304</v>
      </c>
      <c r="F38" t="s">
        <v>16</v>
      </c>
      <c r="G38">
        <v>1</v>
      </c>
      <c r="H38">
        <v>170</v>
      </c>
      <c r="I38" t="s">
        <v>17</v>
      </c>
      <c r="J38">
        <v>0</v>
      </c>
      <c r="K38">
        <v>2</v>
      </c>
      <c r="L38">
        <v>0</v>
      </c>
      <c r="M38">
        <v>2</v>
      </c>
      <c r="N38" t="s">
        <v>18</v>
      </c>
    </row>
    <row r="39" spans="1:14" x14ac:dyDescent="0.3">
      <c r="A39">
        <v>54</v>
      </c>
      <c r="B39" t="s">
        <v>14</v>
      </c>
      <c r="C39" t="s">
        <v>19</v>
      </c>
      <c r="D39">
        <v>150</v>
      </c>
      <c r="E39">
        <v>232</v>
      </c>
      <c r="F39" t="s">
        <v>20</v>
      </c>
      <c r="G39">
        <v>0</v>
      </c>
      <c r="H39">
        <v>165</v>
      </c>
      <c r="I39" t="s">
        <v>17</v>
      </c>
      <c r="J39">
        <v>1.6</v>
      </c>
      <c r="K39">
        <v>2</v>
      </c>
      <c r="L39">
        <v>0</v>
      </c>
      <c r="M39">
        <v>3</v>
      </c>
      <c r="N39" t="s">
        <v>18</v>
      </c>
    </row>
    <row r="40" spans="1:14" x14ac:dyDescent="0.3">
      <c r="A40">
        <v>65</v>
      </c>
      <c r="B40" t="s">
        <v>21</v>
      </c>
      <c r="C40" t="s">
        <v>19</v>
      </c>
      <c r="D40">
        <v>155</v>
      </c>
      <c r="E40">
        <v>269</v>
      </c>
      <c r="F40" t="s">
        <v>20</v>
      </c>
      <c r="G40">
        <v>1</v>
      </c>
      <c r="H40">
        <v>148</v>
      </c>
      <c r="I40" t="s">
        <v>17</v>
      </c>
      <c r="J40">
        <v>0.8</v>
      </c>
      <c r="K40">
        <v>2</v>
      </c>
      <c r="L40">
        <v>0</v>
      </c>
      <c r="M40">
        <v>2</v>
      </c>
      <c r="N40" t="s">
        <v>18</v>
      </c>
    </row>
    <row r="41" spans="1:14" x14ac:dyDescent="0.3">
      <c r="A41">
        <v>65</v>
      </c>
      <c r="B41" t="s">
        <v>21</v>
      </c>
      <c r="C41" t="s">
        <v>19</v>
      </c>
      <c r="D41">
        <v>160</v>
      </c>
      <c r="E41">
        <v>360</v>
      </c>
      <c r="F41" t="s">
        <v>20</v>
      </c>
      <c r="G41">
        <v>0</v>
      </c>
      <c r="H41">
        <v>151</v>
      </c>
      <c r="I41" t="s">
        <v>17</v>
      </c>
      <c r="J41">
        <v>0.8</v>
      </c>
      <c r="K41">
        <v>2</v>
      </c>
      <c r="L41">
        <v>0</v>
      </c>
      <c r="M41">
        <v>2</v>
      </c>
      <c r="N41" t="s">
        <v>18</v>
      </c>
    </row>
    <row r="42" spans="1:14" x14ac:dyDescent="0.3">
      <c r="A42">
        <v>51</v>
      </c>
      <c r="B42" t="s">
        <v>21</v>
      </c>
      <c r="C42" t="s">
        <v>19</v>
      </c>
      <c r="D42">
        <v>140</v>
      </c>
      <c r="E42">
        <v>308</v>
      </c>
      <c r="F42" t="s">
        <v>20</v>
      </c>
      <c r="G42">
        <v>0</v>
      </c>
      <c r="H42">
        <v>142</v>
      </c>
      <c r="I42" t="s">
        <v>17</v>
      </c>
      <c r="J42">
        <v>1.5</v>
      </c>
      <c r="K42">
        <v>2</v>
      </c>
      <c r="L42">
        <v>1</v>
      </c>
      <c r="M42">
        <v>2</v>
      </c>
      <c r="N42" t="s">
        <v>18</v>
      </c>
    </row>
    <row r="43" spans="1:14" x14ac:dyDescent="0.3">
      <c r="A43">
        <v>48</v>
      </c>
      <c r="B43" t="s">
        <v>14</v>
      </c>
      <c r="C43" t="s">
        <v>22</v>
      </c>
      <c r="D43">
        <v>130</v>
      </c>
      <c r="E43">
        <v>245</v>
      </c>
      <c r="F43" t="s">
        <v>20</v>
      </c>
      <c r="G43">
        <v>0</v>
      </c>
      <c r="H43">
        <v>180</v>
      </c>
      <c r="I43" t="s">
        <v>17</v>
      </c>
      <c r="J43">
        <v>0.2</v>
      </c>
      <c r="K43">
        <v>1</v>
      </c>
      <c r="L43">
        <v>0</v>
      </c>
      <c r="M43">
        <v>2</v>
      </c>
      <c r="N43" t="s">
        <v>18</v>
      </c>
    </row>
    <row r="44" spans="1:14" x14ac:dyDescent="0.3">
      <c r="A44">
        <v>45</v>
      </c>
      <c r="B44" t="s">
        <v>14</v>
      </c>
      <c r="C44" t="s">
        <v>23</v>
      </c>
      <c r="D44">
        <v>104</v>
      </c>
      <c r="E44">
        <v>208</v>
      </c>
      <c r="F44" t="s">
        <v>20</v>
      </c>
      <c r="G44">
        <v>0</v>
      </c>
      <c r="H44">
        <v>148</v>
      </c>
      <c r="I44" t="s">
        <v>24</v>
      </c>
      <c r="J44">
        <v>3</v>
      </c>
      <c r="K44">
        <v>1</v>
      </c>
      <c r="L44">
        <v>0</v>
      </c>
      <c r="M44">
        <v>2</v>
      </c>
      <c r="N44" t="s">
        <v>18</v>
      </c>
    </row>
    <row r="45" spans="1:14" x14ac:dyDescent="0.3">
      <c r="A45">
        <v>53</v>
      </c>
      <c r="B45" t="s">
        <v>21</v>
      </c>
      <c r="C45" t="s">
        <v>23</v>
      </c>
      <c r="D45">
        <v>130</v>
      </c>
      <c r="E45">
        <v>264</v>
      </c>
      <c r="F45" t="s">
        <v>20</v>
      </c>
      <c r="G45">
        <v>0</v>
      </c>
      <c r="H45">
        <v>143</v>
      </c>
      <c r="I45" t="s">
        <v>17</v>
      </c>
      <c r="J45">
        <v>0.4</v>
      </c>
      <c r="K45">
        <v>1</v>
      </c>
      <c r="L45">
        <v>0</v>
      </c>
      <c r="M45">
        <v>2</v>
      </c>
      <c r="N45" t="s">
        <v>18</v>
      </c>
    </row>
    <row r="46" spans="1:14" x14ac:dyDescent="0.3">
      <c r="A46">
        <v>39</v>
      </c>
      <c r="B46" t="s">
        <v>14</v>
      </c>
      <c r="C46" t="s">
        <v>19</v>
      </c>
      <c r="D46">
        <v>140</v>
      </c>
      <c r="E46">
        <v>321</v>
      </c>
      <c r="F46" t="s">
        <v>20</v>
      </c>
      <c r="G46">
        <v>0</v>
      </c>
      <c r="H46">
        <v>182</v>
      </c>
      <c r="I46" t="s">
        <v>17</v>
      </c>
      <c r="J46">
        <v>0</v>
      </c>
      <c r="K46">
        <v>2</v>
      </c>
      <c r="L46">
        <v>0</v>
      </c>
      <c r="M46">
        <v>2</v>
      </c>
      <c r="N46" t="s">
        <v>18</v>
      </c>
    </row>
    <row r="47" spans="1:14" x14ac:dyDescent="0.3">
      <c r="A47">
        <v>52</v>
      </c>
      <c r="B47" t="s">
        <v>14</v>
      </c>
      <c r="C47" t="s">
        <v>22</v>
      </c>
      <c r="D47">
        <v>120</v>
      </c>
      <c r="E47">
        <v>325</v>
      </c>
      <c r="F47" t="s">
        <v>20</v>
      </c>
      <c r="G47">
        <v>1</v>
      </c>
      <c r="H47">
        <v>172</v>
      </c>
      <c r="I47" t="s">
        <v>17</v>
      </c>
      <c r="J47">
        <v>0.2</v>
      </c>
      <c r="K47">
        <v>2</v>
      </c>
      <c r="L47">
        <v>0</v>
      </c>
      <c r="M47">
        <v>2</v>
      </c>
      <c r="N47" t="s">
        <v>18</v>
      </c>
    </row>
    <row r="48" spans="1:14" x14ac:dyDescent="0.3">
      <c r="A48">
        <v>44</v>
      </c>
      <c r="B48" t="s">
        <v>14</v>
      </c>
      <c r="C48" t="s">
        <v>19</v>
      </c>
      <c r="D48">
        <v>140</v>
      </c>
      <c r="E48">
        <v>235</v>
      </c>
      <c r="F48" t="s">
        <v>20</v>
      </c>
      <c r="G48">
        <v>0</v>
      </c>
      <c r="H48">
        <v>180</v>
      </c>
      <c r="I48" t="s">
        <v>17</v>
      </c>
      <c r="J48">
        <v>0</v>
      </c>
      <c r="K48">
        <v>2</v>
      </c>
      <c r="L48">
        <v>0</v>
      </c>
      <c r="M48">
        <v>2</v>
      </c>
      <c r="N48" t="s">
        <v>18</v>
      </c>
    </row>
    <row r="49" spans="1:14" x14ac:dyDescent="0.3">
      <c r="A49">
        <v>47</v>
      </c>
      <c r="B49" t="s">
        <v>14</v>
      </c>
      <c r="C49" t="s">
        <v>19</v>
      </c>
      <c r="D49">
        <v>138</v>
      </c>
      <c r="E49">
        <v>257</v>
      </c>
      <c r="F49" t="s">
        <v>20</v>
      </c>
      <c r="G49">
        <v>0</v>
      </c>
      <c r="H49">
        <v>156</v>
      </c>
      <c r="I49" t="s">
        <v>17</v>
      </c>
      <c r="J49">
        <v>0</v>
      </c>
      <c r="K49">
        <v>2</v>
      </c>
      <c r="L49">
        <v>0</v>
      </c>
      <c r="M49">
        <v>2</v>
      </c>
      <c r="N49" t="s">
        <v>18</v>
      </c>
    </row>
    <row r="50" spans="1:14" x14ac:dyDescent="0.3">
      <c r="A50">
        <v>53</v>
      </c>
      <c r="B50" t="s">
        <v>21</v>
      </c>
      <c r="C50" t="s">
        <v>19</v>
      </c>
      <c r="D50">
        <v>128</v>
      </c>
      <c r="E50">
        <v>216</v>
      </c>
      <c r="F50" t="s">
        <v>20</v>
      </c>
      <c r="G50">
        <v>0</v>
      </c>
      <c r="H50">
        <v>115</v>
      </c>
      <c r="I50" t="s">
        <v>17</v>
      </c>
      <c r="J50">
        <v>0</v>
      </c>
      <c r="K50">
        <v>2</v>
      </c>
      <c r="L50">
        <v>0</v>
      </c>
      <c r="M50">
        <v>0</v>
      </c>
      <c r="N50" t="s">
        <v>18</v>
      </c>
    </row>
    <row r="51" spans="1:14" x14ac:dyDescent="0.3">
      <c r="A51">
        <v>53</v>
      </c>
      <c r="B51" t="s">
        <v>21</v>
      </c>
      <c r="C51" t="s">
        <v>23</v>
      </c>
      <c r="D51">
        <v>138</v>
      </c>
      <c r="E51">
        <v>234</v>
      </c>
      <c r="F51" t="s">
        <v>20</v>
      </c>
      <c r="G51">
        <v>0</v>
      </c>
      <c r="H51">
        <v>160</v>
      </c>
      <c r="I51" t="s">
        <v>17</v>
      </c>
      <c r="J51">
        <v>0</v>
      </c>
      <c r="K51">
        <v>2</v>
      </c>
      <c r="L51">
        <v>0</v>
      </c>
      <c r="M51">
        <v>2</v>
      </c>
      <c r="N51" t="s">
        <v>18</v>
      </c>
    </row>
    <row r="52" spans="1:14" x14ac:dyDescent="0.3">
      <c r="A52">
        <v>51</v>
      </c>
      <c r="B52" t="s">
        <v>21</v>
      </c>
      <c r="C52" t="s">
        <v>19</v>
      </c>
      <c r="D52">
        <v>130</v>
      </c>
      <c r="E52">
        <v>256</v>
      </c>
      <c r="F52" t="s">
        <v>20</v>
      </c>
      <c r="G52">
        <v>0</v>
      </c>
      <c r="H52">
        <v>149</v>
      </c>
      <c r="I52" t="s">
        <v>17</v>
      </c>
      <c r="J52">
        <v>0.5</v>
      </c>
      <c r="K52">
        <v>2</v>
      </c>
      <c r="L52">
        <v>0</v>
      </c>
      <c r="M52">
        <v>2</v>
      </c>
      <c r="N52" t="s">
        <v>18</v>
      </c>
    </row>
    <row r="53" spans="1:14" x14ac:dyDescent="0.3">
      <c r="A53">
        <v>66</v>
      </c>
      <c r="B53" t="s">
        <v>14</v>
      </c>
      <c r="C53" t="s">
        <v>23</v>
      </c>
      <c r="D53">
        <v>120</v>
      </c>
      <c r="E53">
        <v>302</v>
      </c>
      <c r="F53" t="s">
        <v>20</v>
      </c>
      <c r="G53">
        <v>0</v>
      </c>
      <c r="H53">
        <v>151</v>
      </c>
      <c r="I53" t="s">
        <v>17</v>
      </c>
      <c r="J53">
        <v>0.4</v>
      </c>
      <c r="K53">
        <v>1</v>
      </c>
      <c r="L53">
        <v>0</v>
      </c>
      <c r="M53">
        <v>2</v>
      </c>
      <c r="N53" t="s">
        <v>18</v>
      </c>
    </row>
    <row r="54" spans="1:14" x14ac:dyDescent="0.3">
      <c r="A54">
        <v>62</v>
      </c>
      <c r="B54" t="s">
        <v>14</v>
      </c>
      <c r="C54" t="s">
        <v>19</v>
      </c>
      <c r="D54">
        <v>130</v>
      </c>
      <c r="E54">
        <v>231</v>
      </c>
      <c r="F54" t="s">
        <v>20</v>
      </c>
      <c r="G54">
        <v>1</v>
      </c>
      <c r="H54">
        <v>146</v>
      </c>
      <c r="I54" t="s">
        <v>17</v>
      </c>
      <c r="J54">
        <v>1.8</v>
      </c>
      <c r="K54">
        <v>1</v>
      </c>
      <c r="L54">
        <v>3</v>
      </c>
      <c r="M54">
        <v>3</v>
      </c>
      <c r="N54" t="s">
        <v>18</v>
      </c>
    </row>
    <row r="55" spans="1:14" x14ac:dyDescent="0.3">
      <c r="A55">
        <v>44</v>
      </c>
      <c r="B55" t="s">
        <v>21</v>
      </c>
      <c r="C55" t="s">
        <v>19</v>
      </c>
      <c r="D55">
        <v>108</v>
      </c>
      <c r="E55">
        <v>141</v>
      </c>
      <c r="F55" t="s">
        <v>20</v>
      </c>
      <c r="G55">
        <v>1</v>
      </c>
      <c r="H55">
        <v>175</v>
      </c>
      <c r="I55" t="s">
        <v>17</v>
      </c>
      <c r="J55">
        <v>0.6</v>
      </c>
      <c r="K55">
        <v>1</v>
      </c>
      <c r="L55">
        <v>0</v>
      </c>
      <c r="M55">
        <v>2</v>
      </c>
      <c r="N55" t="s">
        <v>18</v>
      </c>
    </row>
    <row r="56" spans="1:14" x14ac:dyDescent="0.3">
      <c r="A56">
        <v>63</v>
      </c>
      <c r="B56" t="s">
        <v>21</v>
      </c>
      <c r="C56" t="s">
        <v>19</v>
      </c>
      <c r="D56">
        <v>135</v>
      </c>
      <c r="E56">
        <v>252</v>
      </c>
      <c r="F56" t="s">
        <v>20</v>
      </c>
      <c r="G56">
        <v>0</v>
      </c>
      <c r="H56">
        <v>172</v>
      </c>
      <c r="I56" t="s">
        <v>17</v>
      </c>
      <c r="J56">
        <v>0</v>
      </c>
      <c r="K56">
        <v>2</v>
      </c>
      <c r="L56">
        <v>0</v>
      </c>
      <c r="M56">
        <v>2</v>
      </c>
      <c r="N56" t="s">
        <v>18</v>
      </c>
    </row>
    <row r="57" spans="1:14" x14ac:dyDescent="0.3">
      <c r="A57">
        <v>52</v>
      </c>
      <c r="B57" t="s">
        <v>14</v>
      </c>
      <c r="C57" t="s">
        <v>22</v>
      </c>
      <c r="D57">
        <v>134</v>
      </c>
      <c r="E57">
        <v>201</v>
      </c>
      <c r="F57" t="s">
        <v>20</v>
      </c>
      <c r="G57">
        <v>1</v>
      </c>
      <c r="H57">
        <v>158</v>
      </c>
      <c r="I57" t="s">
        <v>17</v>
      </c>
      <c r="J57">
        <v>0.8</v>
      </c>
      <c r="K57">
        <v>2</v>
      </c>
      <c r="L57">
        <v>1</v>
      </c>
      <c r="M57">
        <v>2</v>
      </c>
      <c r="N57" t="s">
        <v>18</v>
      </c>
    </row>
    <row r="58" spans="1:14" x14ac:dyDescent="0.3">
      <c r="A58">
        <v>48</v>
      </c>
      <c r="B58" t="s">
        <v>14</v>
      </c>
      <c r="C58" t="s">
        <v>23</v>
      </c>
      <c r="D58">
        <v>122</v>
      </c>
      <c r="E58">
        <v>222</v>
      </c>
      <c r="F58" t="s">
        <v>20</v>
      </c>
      <c r="G58">
        <v>0</v>
      </c>
      <c r="H58">
        <v>186</v>
      </c>
      <c r="I58" t="s">
        <v>17</v>
      </c>
      <c r="J58">
        <v>0</v>
      </c>
      <c r="K58">
        <v>2</v>
      </c>
      <c r="L58">
        <v>0</v>
      </c>
      <c r="M58">
        <v>2</v>
      </c>
      <c r="N58" t="s">
        <v>18</v>
      </c>
    </row>
    <row r="59" spans="1:14" x14ac:dyDescent="0.3">
      <c r="A59">
        <v>45</v>
      </c>
      <c r="B59" t="s">
        <v>14</v>
      </c>
      <c r="C59" t="s">
        <v>23</v>
      </c>
      <c r="D59">
        <v>115</v>
      </c>
      <c r="E59">
        <v>260</v>
      </c>
      <c r="F59" t="s">
        <v>20</v>
      </c>
      <c r="G59">
        <v>0</v>
      </c>
      <c r="H59">
        <v>185</v>
      </c>
      <c r="I59" t="s">
        <v>17</v>
      </c>
      <c r="J59">
        <v>0</v>
      </c>
      <c r="K59">
        <v>2</v>
      </c>
      <c r="L59">
        <v>0</v>
      </c>
      <c r="M59">
        <v>2</v>
      </c>
      <c r="N59" t="s">
        <v>18</v>
      </c>
    </row>
    <row r="60" spans="1:14" x14ac:dyDescent="0.3">
      <c r="A60">
        <v>34</v>
      </c>
      <c r="B60" t="s">
        <v>14</v>
      </c>
      <c r="C60" t="s">
        <v>15</v>
      </c>
      <c r="D60">
        <v>118</v>
      </c>
      <c r="E60">
        <v>182</v>
      </c>
      <c r="F60" t="s">
        <v>20</v>
      </c>
      <c r="G60">
        <v>0</v>
      </c>
      <c r="H60">
        <v>174</v>
      </c>
      <c r="I60" t="s">
        <v>17</v>
      </c>
      <c r="J60">
        <v>0</v>
      </c>
      <c r="K60">
        <v>2</v>
      </c>
      <c r="L60">
        <v>0</v>
      </c>
      <c r="M60">
        <v>2</v>
      </c>
      <c r="N60" t="s">
        <v>18</v>
      </c>
    </row>
    <row r="61" spans="1:14" x14ac:dyDescent="0.3">
      <c r="A61">
        <v>57</v>
      </c>
      <c r="B61" t="s">
        <v>21</v>
      </c>
      <c r="C61" t="s">
        <v>23</v>
      </c>
      <c r="D61">
        <v>128</v>
      </c>
      <c r="E61">
        <v>303</v>
      </c>
      <c r="F61" t="s">
        <v>20</v>
      </c>
      <c r="G61">
        <v>0</v>
      </c>
      <c r="H61">
        <v>159</v>
      </c>
      <c r="I61" t="s">
        <v>17</v>
      </c>
      <c r="J61">
        <v>0</v>
      </c>
      <c r="K61">
        <v>2</v>
      </c>
      <c r="L61">
        <v>1</v>
      </c>
      <c r="M61">
        <v>2</v>
      </c>
      <c r="N61" t="s">
        <v>18</v>
      </c>
    </row>
    <row r="62" spans="1:14" x14ac:dyDescent="0.3">
      <c r="A62">
        <v>71</v>
      </c>
      <c r="B62" t="s">
        <v>21</v>
      </c>
      <c r="C62" t="s">
        <v>19</v>
      </c>
      <c r="D62">
        <v>110</v>
      </c>
      <c r="E62">
        <v>265</v>
      </c>
      <c r="F62" t="s">
        <v>16</v>
      </c>
      <c r="G62">
        <v>0</v>
      </c>
      <c r="H62">
        <v>130</v>
      </c>
      <c r="I62" t="s">
        <v>17</v>
      </c>
      <c r="J62">
        <v>0</v>
      </c>
      <c r="K62">
        <v>2</v>
      </c>
      <c r="L62">
        <v>1</v>
      </c>
      <c r="M62">
        <v>2</v>
      </c>
      <c r="N62" t="s">
        <v>18</v>
      </c>
    </row>
    <row r="63" spans="1:14" x14ac:dyDescent="0.3">
      <c r="A63">
        <v>54</v>
      </c>
      <c r="B63" t="s">
        <v>14</v>
      </c>
      <c r="C63" t="s">
        <v>22</v>
      </c>
      <c r="D63">
        <v>108</v>
      </c>
      <c r="E63">
        <v>309</v>
      </c>
      <c r="F63" t="s">
        <v>20</v>
      </c>
      <c r="G63">
        <v>1</v>
      </c>
      <c r="H63">
        <v>156</v>
      </c>
      <c r="I63" t="s">
        <v>17</v>
      </c>
      <c r="J63">
        <v>0</v>
      </c>
      <c r="K63">
        <v>2</v>
      </c>
      <c r="L63">
        <v>0</v>
      </c>
      <c r="M63">
        <v>3</v>
      </c>
      <c r="N63" t="s">
        <v>18</v>
      </c>
    </row>
    <row r="64" spans="1:14" x14ac:dyDescent="0.3">
      <c r="A64">
        <v>52</v>
      </c>
      <c r="B64" t="s">
        <v>14</v>
      </c>
      <c r="C64" t="s">
        <v>15</v>
      </c>
      <c r="D64">
        <v>118</v>
      </c>
      <c r="E64">
        <v>186</v>
      </c>
      <c r="F64" t="s">
        <v>20</v>
      </c>
      <c r="G64">
        <v>0</v>
      </c>
      <c r="H64">
        <v>190</v>
      </c>
      <c r="I64" t="s">
        <v>17</v>
      </c>
      <c r="J64">
        <v>0</v>
      </c>
      <c r="K64">
        <v>1</v>
      </c>
      <c r="L64">
        <v>0</v>
      </c>
      <c r="M64">
        <v>1</v>
      </c>
      <c r="N64" t="s">
        <v>18</v>
      </c>
    </row>
    <row r="65" spans="1:14" x14ac:dyDescent="0.3">
      <c r="A65">
        <v>41</v>
      </c>
      <c r="B65" t="s">
        <v>14</v>
      </c>
      <c r="C65" t="s">
        <v>22</v>
      </c>
      <c r="D65">
        <v>135</v>
      </c>
      <c r="E65">
        <v>203</v>
      </c>
      <c r="F65" t="s">
        <v>20</v>
      </c>
      <c r="G65">
        <v>1</v>
      </c>
      <c r="H65">
        <v>132</v>
      </c>
      <c r="I65" t="s">
        <v>17</v>
      </c>
      <c r="J65">
        <v>0</v>
      </c>
      <c r="K65">
        <v>1</v>
      </c>
      <c r="L65">
        <v>0</v>
      </c>
      <c r="M65">
        <v>1</v>
      </c>
      <c r="N65" t="s">
        <v>18</v>
      </c>
    </row>
    <row r="66" spans="1:14" x14ac:dyDescent="0.3">
      <c r="A66">
        <v>58</v>
      </c>
      <c r="B66" t="s">
        <v>14</v>
      </c>
      <c r="C66" t="s">
        <v>19</v>
      </c>
      <c r="D66">
        <v>140</v>
      </c>
      <c r="E66">
        <v>211</v>
      </c>
      <c r="F66" t="s">
        <v>16</v>
      </c>
      <c r="G66">
        <v>0</v>
      </c>
      <c r="H66">
        <v>165</v>
      </c>
      <c r="I66" t="s">
        <v>17</v>
      </c>
      <c r="J66">
        <v>0</v>
      </c>
      <c r="K66">
        <v>2</v>
      </c>
      <c r="L66">
        <v>0</v>
      </c>
      <c r="M66">
        <v>2</v>
      </c>
      <c r="N66" t="s">
        <v>18</v>
      </c>
    </row>
    <row r="67" spans="1:14" x14ac:dyDescent="0.3">
      <c r="A67">
        <v>35</v>
      </c>
      <c r="B67" t="s">
        <v>21</v>
      </c>
      <c r="C67" t="s">
        <v>23</v>
      </c>
      <c r="D67">
        <v>138</v>
      </c>
      <c r="E67">
        <v>183</v>
      </c>
      <c r="F67" t="s">
        <v>20</v>
      </c>
      <c r="G67">
        <v>1</v>
      </c>
      <c r="H67">
        <v>182</v>
      </c>
      <c r="I67" t="s">
        <v>17</v>
      </c>
      <c r="J67">
        <v>1.4</v>
      </c>
      <c r="K67">
        <v>2</v>
      </c>
      <c r="L67">
        <v>0</v>
      </c>
      <c r="M67">
        <v>2</v>
      </c>
      <c r="N67" t="s">
        <v>18</v>
      </c>
    </row>
    <row r="68" spans="1:14" x14ac:dyDescent="0.3">
      <c r="A68">
        <v>51</v>
      </c>
      <c r="B68" t="s">
        <v>14</v>
      </c>
      <c r="C68" t="s">
        <v>19</v>
      </c>
      <c r="D68">
        <v>100</v>
      </c>
      <c r="E68">
        <v>222</v>
      </c>
      <c r="F68" t="s">
        <v>20</v>
      </c>
      <c r="G68">
        <v>1</v>
      </c>
      <c r="H68">
        <v>143</v>
      </c>
      <c r="I68" t="s">
        <v>24</v>
      </c>
      <c r="J68">
        <v>1.2</v>
      </c>
      <c r="K68">
        <v>1</v>
      </c>
      <c r="L68">
        <v>0</v>
      </c>
      <c r="M68">
        <v>2</v>
      </c>
      <c r="N68" t="s">
        <v>18</v>
      </c>
    </row>
    <row r="69" spans="1:14" x14ac:dyDescent="0.3">
      <c r="A69">
        <v>45</v>
      </c>
      <c r="B69" t="s">
        <v>21</v>
      </c>
      <c r="C69" t="s">
        <v>22</v>
      </c>
      <c r="D69">
        <v>130</v>
      </c>
      <c r="E69">
        <v>234</v>
      </c>
      <c r="F69" t="s">
        <v>20</v>
      </c>
      <c r="G69">
        <v>0</v>
      </c>
      <c r="H69">
        <v>175</v>
      </c>
      <c r="I69" t="s">
        <v>17</v>
      </c>
      <c r="J69">
        <v>0.6</v>
      </c>
      <c r="K69">
        <v>1</v>
      </c>
      <c r="L69">
        <v>0</v>
      </c>
      <c r="M69">
        <v>2</v>
      </c>
      <c r="N69" t="s">
        <v>18</v>
      </c>
    </row>
    <row r="70" spans="1:14" x14ac:dyDescent="0.3">
      <c r="A70">
        <v>44</v>
      </c>
      <c r="B70" t="s">
        <v>14</v>
      </c>
      <c r="C70" t="s">
        <v>22</v>
      </c>
      <c r="D70">
        <v>120</v>
      </c>
      <c r="E70">
        <v>220</v>
      </c>
      <c r="F70" t="s">
        <v>20</v>
      </c>
      <c r="G70">
        <v>1</v>
      </c>
      <c r="H70">
        <v>170</v>
      </c>
      <c r="I70" t="s">
        <v>17</v>
      </c>
      <c r="J70">
        <v>0</v>
      </c>
      <c r="K70">
        <v>2</v>
      </c>
      <c r="L70">
        <v>0</v>
      </c>
      <c r="M70">
        <v>2</v>
      </c>
      <c r="N70" t="s">
        <v>18</v>
      </c>
    </row>
    <row r="71" spans="1:14" x14ac:dyDescent="0.3">
      <c r="A71">
        <v>62</v>
      </c>
      <c r="B71" t="s">
        <v>21</v>
      </c>
      <c r="C71" t="s">
        <v>23</v>
      </c>
      <c r="D71">
        <v>124</v>
      </c>
      <c r="E71">
        <v>209</v>
      </c>
      <c r="F71" t="s">
        <v>20</v>
      </c>
      <c r="G71">
        <v>1</v>
      </c>
      <c r="H71">
        <v>163</v>
      </c>
      <c r="I71" t="s">
        <v>17</v>
      </c>
      <c r="J71">
        <v>0</v>
      </c>
      <c r="K71">
        <v>2</v>
      </c>
      <c r="L71">
        <v>0</v>
      </c>
      <c r="M71">
        <v>2</v>
      </c>
      <c r="N71" t="s">
        <v>18</v>
      </c>
    </row>
    <row r="72" spans="1:14" x14ac:dyDescent="0.3">
      <c r="A72">
        <v>54</v>
      </c>
      <c r="B72" t="s">
        <v>14</v>
      </c>
      <c r="C72" t="s">
        <v>19</v>
      </c>
      <c r="D72">
        <v>120</v>
      </c>
      <c r="E72">
        <v>258</v>
      </c>
      <c r="F72" t="s">
        <v>20</v>
      </c>
      <c r="G72">
        <v>0</v>
      </c>
      <c r="H72">
        <v>147</v>
      </c>
      <c r="I72" t="s">
        <v>17</v>
      </c>
      <c r="J72">
        <v>0.4</v>
      </c>
      <c r="K72">
        <v>1</v>
      </c>
      <c r="L72">
        <v>0</v>
      </c>
      <c r="M72">
        <v>3</v>
      </c>
      <c r="N72" t="s">
        <v>18</v>
      </c>
    </row>
    <row r="73" spans="1:14" x14ac:dyDescent="0.3">
      <c r="A73">
        <v>51</v>
      </c>
      <c r="B73" t="s">
        <v>14</v>
      </c>
      <c r="C73" t="s">
        <v>19</v>
      </c>
      <c r="D73">
        <v>94</v>
      </c>
      <c r="E73">
        <v>227</v>
      </c>
      <c r="F73" t="s">
        <v>20</v>
      </c>
      <c r="G73">
        <v>1</v>
      </c>
      <c r="H73">
        <v>154</v>
      </c>
      <c r="I73" t="s">
        <v>24</v>
      </c>
      <c r="J73">
        <v>0</v>
      </c>
      <c r="K73">
        <v>2</v>
      </c>
      <c r="L73">
        <v>1</v>
      </c>
      <c r="M73">
        <v>3</v>
      </c>
      <c r="N73" t="s">
        <v>18</v>
      </c>
    </row>
    <row r="74" spans="1:14" x14ac:dyDescent="0.3">
      <c r="A74">
        <v>29</v>
      </c>
      <c r="B74" t="s">
        <v>14</v>
      </c>
      <c r="C74" t="s">
        <v>22</v>
      </c>
      <c r="D74">
        <v>130</v>
      </c>
      <c r="E74">
        <v>204</v>
      </c>
      <c r="F74" t="s">
        <v>20</v>
      </c>
      <c r="G74">
        <v>0</v>
      </c>
      <c r="H74">
        <v>202</v>
      </c>
      <c r="I74" t="s">
        <v>17</v>
      </c>
      <c r="J74">
        <v>0</v>
      </c>
      <c r="K74">
        <v>2</v>
      </c>
      <c r="L74">
        <v>0</v>
      </c>
      <c r="M74">
        <v>2</v>
      </c>
      <c r="N74" t="s">
        <v>18</v>
      </c>
    </row>
    <row r="75" spans="1:14" x14ac:dyDescent="0.3">
      <c r="A75">
        <v>51</v>
      </c>
      <c r="B75" t="s">
        <v>14</v>
      </c>
      <c r="C75" t="s">
        <v>23</v>
      </c>
      <c r="D75">
        <v>140</v>
      </c>
      <c r="E75">
        <v>261</v>
      </c>
      <c r="F75" t="s">
        <v>20</v>
      </c>
      <c r="G75">
        <v>0</v>
      </c>
      <c r="H75">
        <v>186</v>
      </c>
      <c r="I75" t="s">
        <v>24</v>
      </c>
      <c r="J75">
        <v>0</v>
      </c>
      <c r="K75">
        <v>2</v>
      </c>
      <c r="L75">
        <v>0</v>
      </c>
      <c r="M75">
        <v>2</v>
      </c>
      <c r="N75" t="s">
        <v>18</v>
      </c>
    </row>
    <row r="76" spans="1:14" x14ac:dyDescent="0.3">
      <c r="A76">
        <v>43</v>
      </c>
      <c r="B76" t="s">
        <v>21</v>
      </c>
      <c r="C76" t="s">
        <v>19</v>
      </c>
      <c r="D76">
        <v>122</v>
      </c>
      <c r="E76">
        <v>213</v>
      </c>
      <c r="F76" t="s">
        <v>20</v>
      </c>
      <c r="G76">
        <v>1</v>
      </c>
      <c r="H76">
        <v>165</v>
      </c>
      <c r="I76" t="s">
        <v>17</v>
      </c>
      <c r="J76">
        <v>0.2</v>
      </c>
      <c r="K76">
        <v>1</v>
      </c>
      <c r="L76">
        <v>0</v>
      </c>
      <c r="M76">
        <v>2</v>
      </c>
      <c r="N76" t="s">
        <v>18</v>
      </c>
    </row>
    <row r="77" spans="1:14" x14ac:dyDescent="0.3">
      <c r="A77">
        <v>55</v>
      </c>
      <c r="B77" t="s">
        <v>21</v>
      </c>
      <c r="C77" t="s">
        <v>22</v>
      </c>
      <c r="D77">
        <v>135</v>
      </c>
      <c r="E77">
        <v>250</v>
      </c>
      <c r="F77" t="s">
        <v>20</v>
      </c>
      <c r="G77">
        <v>0</v>
      </c>
      <c r="H77">
        <v>161</v>
      </c>
      <c r="I77" t="s">
        <v>17</v>
      </c>
      <c r="J77">
        <v>1.4</v>
      </c>
      <c r="K77">
        <v>1</v>
      </c>
      <c r="L77">
        <v>0</v>
      </c>
      <c r="M77">
        <v>2</v>
      </c>
      <c r="N77" t="s">
        <v>18</v>
      </c>
    </row>
    <row r="78" spans="1:14" x14ac:dyDescent="0.3">
      <c r="A78">
        <v>51</v>
      </c>
      <c r="B78" t="s">
        <v>14</v>
      </c>
      <c r="C78" t="s">
        <v>19</v>
      </c>
      <c r="D78">
        <v>125</v>
      </c>
      <c r="E78">
        <v>245</v>
      </c>
      <c r="F78" t="s">
        <v>16</v>
      </c>
      <c r="G78">
        <v>0</v>
      </c>
      <c r="H78">
        <v>166</v>
      </c>
      <c r="I78" t="s">
        <v>17</v>
      </c>
      <c r="J78">
        <v>2.4</v>
      </c>
      <c r="K78">
        <v>1</v>
      </c>
      <c r="L78">
        <v>0</v>
      </c>
      <c r="M78">
        <v>2</v>
      </c>
      <c r="N78" t="s">
        <v>18</v>
      </c>
    </row>
    <row r="79" spans="1:14" x14ac:dyDescent="0.3">
      <c r="A79">
        <v>59</v>
      </c>
      <c r="B79" t="s">
        <v>14</v>
      </c>
      <c r="C79" t="s">
        <v>22</v>
      </c>
      <c r="D79">
        <v>140</v>
      </c>
      <c r="E79">
        <v>221</v>
      </c>
      <c r="F79" t="s">
        <v>20</v>
      </c>
      <c r="G79">
        <v>1</v>
      </c>
      <c r="H79">
        <v>164</v>
      </c>
      <c r="I79" t="s">
        <v>24</v>
      </c>
      <c r="J79">
        <v>0</v>
      </c>
      <c r="K79">
        <v>2</v>
      </c>
      <c r="L79">
        <v>0</v>
      </c>
      <c r="M79">
        <v>2</v>
      </c>
      <c r="N79" t="s">
        <v>18</v>
      </c>
    </row>
    <row r="80" spans="1:14" x14ac:dyDescent="0.3">
      <c r="A80">
        <v>52</v>
      </c>
      <c r="B80" t="s">
        <v>14</v>
      </c>
      <c r="C80" t="s">
        <v>22</v>
      </c>
      <c r="D80">
        <v>128</v>
      </c>
      <c r="E80">
        <v>205</v>
      </c>
      <c r="F80" t="s">
        <v>16</v>
      </c>
      <c r="G80">
        <v>1</v>
      </c>
      <c r="H80">
        <v>184</v>
      </c>
      <c r="I80" t="s">
        <v>17</v>
      </c>
      <c r="J80">
        <v>0</v>
      </c>
      <c r="K80">
        <v>2</v>
      </c>
      <c r="L80">
        <v>0</v>
      </c>
      <c r="M80">
        <v>2</v>
      </c>
      <c r="N80" t="s">
        <v>18</v>
      </c>
    </row>
    <row r="81" spans="1:14" x14ac:dyDescent="0.3">
      <c r="A81">
        <v>58</v>
      </c>
      <c r="B81" t="s">
        <v>14</v>
      </c>
      <c r="C81" t="s">
        <v>19</v>
      </c>
      <c r="D81">
        <v>105</v>
      </c>
      <c r="E81">
        <v>240</v>
      </c>
      <c r="F81" t="s">
        <v>20</v>
      </c>
      <c r="G81">
        <v>0</v>
      </c>
      <c r="H81">
        <v>154</v>
      </c>
      <c r="I81" t="s">
        <v>24</v>
      </c>
      <c r="J81">
        <v>0.6</v>
      </c>
      <c r="K81">
        <v>1</v>
      </c>
      <c r="L81">
        <v>0</v>
      </c>
      <c r="M81">
        <v>3</v>
      </c>
      <c r="N81" t="s">
        <v>18</v>
      </c>
    </row>
    <row r="82" spans="1:14" x14ac:dyDescent="0.3">
      <c r="A82">
        <v>41</v>
      </c>
      <c r="B82" t="s">
        <v>14</v>
      </c>
      <c r="C82" t="s">
        <v>19</v>
      </c>
      <c r="D82">
        <v>112</v>
      </c>
      <c r="E82">
        <v>250</v>
      </c>
      <c r="F82" t="s">
        <v>20</v>
      </c>
      <c r="G82">
        <v>1</v>
      </c>
      <c r="H82">
        <v>179</v>
      </c>
      <c r="I82" t="s">
        <v>17</v>
      </c>
      <c r="J82">
        <v>0</v>
      </c>
      <c r="K82">
        <v>2</v>
      </c>
      <c r="L82">
        <v>0</v>
      </c>
      <c r="M82">
        <v>2</v>
      </c>
      <c r="N82" t="s">
        <v>18</v>
      </c>
    </row>
    <row r="83" spans="1:14" x14ac:dyDescent="0.3">
      <c r="A83">
        <v>45</v>
      </c>
      <c r="B83" t="s">
        <v>14</v>
      </c>
      <c r="C83" t="s">
        <v>22</v>
      </c>
      <c r="D83">
        <v>128</v>
      </c>
      <c r="E83">
        <v>308</v>
      </c>
      <c r="F83" t="s">
        <v>20</v>
      </c>
      <c r="G83">
        <v>0</v>
      </c>
      <c r="H83">
        <v>170</v>
      </c>
      <c r="I83" t="s">
        <v>17</v>
      </c>
      <c r="J83">
        <v>0</v>
      </c>
      <c r="K83">
        <v>2</v>
      </c>
      <c r="L83">
        <v>0</v>
      </c>
      <c r="M83">
        <v>2</v>
      </c>
      <c r="N83" t="s">
        <v>18</v>
      </c>
    </row>
    <row r="84" spans="1:14" x14ac:dyDescent="0.3">
      <c r="A84">
        <v>60</v>
      </c>
      <c r="B84" t="s">
        <v>21</v>
      </c>
      <c r="C84" t="s">
        <v>19</v>
      </c>
      <c r="D84">
        <v>102</v>
      </c>
      <c r="E84">
        <v>318</v>
      </c>
      <c r="F84" t="s">
        <v>20</v>
      </c>
      <c r="G84">
        <v>1</v>
      </c>
      <c r="H84">
        <v>160</v>
      </c>
      <c r="I84" t="s">
        <v>17</v>
      </c>
      <c r="J84">
        <v>0</v>
      </c>
      <c r="K84">
        <v>2</v>
      </c>
      <c r="L84">
        <v>1</v>
      </c>
      <c r="M84">
        <v>2</v>
      </c>
      <c r="N84" t="s">
        <v>18</v>
      </c>
    </row>
    <row r="85" spans="1:14" x14ac:dyDescent="0.3">
      <c r="A85">
        <v>52</v>
      </c>
      <c r="B85" t="s">
        <v>14</v>
      </c>
      <c r="C85" t="s">
        <v>15</v>
      </c>
      <c r="D85">
        <v>152</v>
      </c>
      <c r="E85">
        <v>298</v>
      </c>
      <c r="F85" t="s">
        <v>16</v>
      </c>
      <c r="G85">
        <v>1</v>
      </c>
      <c r="H85">
        <v>178</v>
      </c>
      <c r="I85" t="s">
        <v>17</v>
      </c>
      <c r="J85">
        <v>1.2</v>
      </c>
      <c r="K85">
        <v>1</v>
      </c>
      <c r="L85">
        <v>0</v>
      </c>
      <c r="M85">
        <v>3</v>
      </c>
      <c r="N85" t="s">
        <v>18</v>
      </c>
    </row>
    <row r="86" spans="1:14" x14ac:dyDescent="0.3">
      <c r="A86">
        <v>42</v>
      </c>
      <c r="B86" t="s">
        <v>21</v>
      </c>
      <c r="C86" t="s">
        <v>23</v>
      </c>
      <c r="D86">
        <v>102</v>
      </c>
      <c r="E86">
        <v>265</v>
      </c>
      <c r="F86" t="s">
        <v>20</v>
      </c>
      <c r="G86">
        <v>0</v>
      </c>
      <c r="H86">
        <v>122</v>
      </c>
      <c r="I86" t="s">
        <v>17</v>
      </c>
      <c r="J86">
        <v>0.6</v>
      </c>
      <c r="K86">
        <v>1</v>
      </c>
      <c r="L86">
        <v>0</v>
      </c>
      <c r="M86">
        <v>2</v>
      </c>
      <c r="N86" t="s">
        <v>18</v>
      </c>
    </row>
    <row r="87" spans="1:14" x14ac:dyDescent="0.3">
      <c r="A87">
        <v>67</v>
      </c>
      <c r="B87" t="s">
        <v>21</v>
      </c>
      <c r="C87" t="s">
        <v>19</v>
      </c>
      <c r="D87">
        <v>115</v>
      </c>
      <c r="E87">
        <v>564</v>
      </c>
      <c r="F87" t="s">
        <v>20</v>
      </c>
      <c r="G87">
        <v>0</v>
      </c>
      <c r="H87">
        <v>160</v>
      </c>
      <c r="I87" t="s">
        <v>17</v>
      </c>
      <c r="J87">
        <v>1.6</v>
      </c>
      <c r="K87">
        <v>1</v>
      </c>
      <c r="L87">
        <v>0</v>
      </c>
      <c r="M87">
        <v>3</v>
      </c>
      <c r="N87" t="s">
        <v>18</v>
      </c>
    </row>
    <row r="88" spans="1:14" x14ac:dyDescent="0.3">
      <c r="A88">
        <v>68</v>
      </c>
      <c r="B88" t="s">
        <v>14</v>
      </c>
      <c r="C88" t="s">
        <v>19</v>
      </c>
      <c r="D88">
        <v>118</v>
      </c>
      <c r="E88">
        <v>277</v>
      </c>
      <c r="F88" t="s">
        <v>20</v>
      </c>
      <c r="G88">
        <v>1</v>
      </c>
      <c r="H88">
        <v>151</v>
      </c>
      <c r="I88" t="s">
        <v>17</v>
      </c>
      <c r="J88">
        <v>1</v>
      </c>
      <c r="K88">
        <v>2</v>
      </c>
      <c r="L88">
        <v>1</v>
      </c>
      <c r="M88">
        <v>3</v>
      </c>
      <c r="N88" t="s">
        <v>18</v>
      </c>
    </row>
    <row r="89" spans="1:14" x14ac:dyDescent="0.3">
      <c r="A89">
        <v>46</v>
      </c>
      <c r="B89" t="s">
        <v>14</v>
      </c>
      <c r="C89" t="s">
        <v>22</v>
      </c>
      <c r="D89">
        <v>101</v>
      </c>
      <c r="E89">
        <v>197</v>
      </c>
      <c r="F89" t="s">
        <v>16</v>
      </c>
      <c r="G89">
        <v>1</v>
      </c>
      <c r="H89">
        <v>156</v>
      </c>
      <c r="I89" t="s">
        <v>17</v>
      </c>
      <c r="J89">
        <v>0</v>
      </c>
      <c r="K89">
        <v>2</v>
      </c>
      <c r="L89">
        <v>0</v>
      </c>
      <c r="M89">
        <v>3</v>
      </c>
      <c r="N89" t="s">
        <v>18</v>
      </c>
    </row>
    <row r="90" spans="1:14" x14ac:dyDescent="0.3">
      <c r="A90">
        <v>54</v>
      </c>
      <c r="B90" t="s">
        <v>21</v>
      </c>
      <c r="C90" t="s">
        <v>19</v>
      </c>
      <c r="D90">
        <v>110</v>
      </c>
      <c r="E90">
        <v>214</v>
      </c>
      <c r="F90" t="s">
        <v>20</v>
      </c>
      <c r="G90">
        <v>1</v>
      </c>
      <c r="H90">
        <v>158</v>
      </c>
      <c r="I90" t="s">
        <v>17</v>
      </c>
      <c r="J90">
        <v>1.6</v>
      </c>
      <c r="K90">
        <v>1</v>
      </c>
      <c r="L90">
        <v>0</v>
      </c>
      <c r="M90">
        <v>2</v>
      </c>
      <c r="N90" t="s">
        <v>18</v>
      </c>
    </row>
    <row r="91" spans="1:14" x14ac:dyDescent="0.3">
      <c r="A91">
        <v>58</v>
      </c>
      <c r="B91" t="s">
        <v>21</v>
      </c>
      <c r="C91" t="s">
        <v>23</v>
      </c>
      <c r="D91">
        <v>100</v>
      </c>
      <c r="E91">
        <v>248</v>
      </c>
      <c r="F91" t="s">
        <v>20</v>
      </c>
      <c r="G91">
        <v>0</v>
      </c>
      <c r="H91">
        <v>122</v>
      </c>
      <c r="I91" t="s">
        <v>17</v>
      </c>
      <c r="J91">
        <v>1</v>
      </c>
      <c r="K91">
        <v>1</v>
      </c>
      <c r="L91">
        <v>0</v>
      </c>
      <c r="M91">
        <v>2</v>
      </c>
      <c r="N91" t="s">
        <v>18</v>
      </c>
    </row>
    <row r="92" spans="1:14" x14ac:dyDescent="0.3">
      <c r="A92">
        <v>48</v>
      </c>
      <c r="B92" t="s">
        <v>14</v>
      </c>
      <c r="C92" t="s">
        <v>19</v>
      </c>
      <c r="D92">
        <v>124</v>
      </c>
      <c r="E92">
        <v>255</v>
      </c>
      <c r="F92" t="s">
        <v>16</v>
      </c>
      <c r="G92">
        <v>1</v>
      </c>
      <c r="H92">
        <v>175</v>
      </c>
      <c r="I92" t="s">
        <v>17</v>
      </c>
      <c r="J92">
        <v>0</v>
      </c>
      <c r="K92">
        <v>2</v>
      </c>
      <c r="L92">
        <v>2</v>
      </c>
      <c r="M92">
        <v>2</v>
      </c>
      <c r="N92" t="s">
        <v>18</v>
      </c>
    </row>
    <row r="93" spans="1:14" x14ac:dyDescent="0.3">
      <c r="A93">
        <v>57</v>
      </c>
      <c r="B93" t="s">
        <v>14</v>
      </c>
      <c r="C93" t="s">
        <v>23</v>
      </c>
      <c r="D93">
        <v>132</v>
      </c>
      <c r="E93">
        <v>207</v>
      </c>
      <c r="F93" t="s">
        <v>20</v>
      </c>
      <c r="G93">
        <v>1</v>
      </c>
      <c r="H93">
        <v>168</v>
      </c>
      <c r="I93" t="s">
        <v>24</v>
      </c>
      <c r="J93">
        <v>0</v>
      </c>
      <c r="K93">
        <v>2</v>
      </c>
      <c r="L93">
        <v>0</v>
      </c>
      <c r="M93">
        <v>3</v>
      </c>
      <c r="N93" t="s">
        <v>18</v>
      </c>
    </row>
    <row r="94" spans="1:14" x14ac:dyDescent="0.3">
      <c r="A94">
        <v>52</v>
      </c>
      <c r="B94" t="s">
        <v>14</v>
      </c>
      <c r="C94" t="s">
        <v>19</v>
      </c>
      <c r="D94">
        <v>138</v>
      </c>
      <c r="E94">
        <v>223</v>
      </c>
      <c r="F94" t="s">
        <v>20</v>
      </c>
      <c r="G94">
        <v>1</v>
      </c>
      <c r="H94">
        <v>169</v>
      </c>
      <c r="I94" t="s">
        <v>17</v>
      </c>
      <c r="J94">
        <v>0</v>
      </c>
      <c r="K94">
        <v>2</v>
      </c>
      <c r="L94">
        <v>4</v>
      </c>
      <c r="M94">
        <v>2</v>
      </c>
      <c r="N94" t="s">
        <v>18</v>
      </c>
    </row>
    <row r="95" spans="1:14" x14ac:dyDescent="0.3">
      <c r="A95">
        <v>54</v>
      </c>
      <c r="B95" t="s">
        <v>21</v>
      </c>
      <c r="C95" t="s">
        <v>22</v>
      </c>
      <c r="D95">
        <v>132</v>
      </c>
      <c r="E95">
        <v>288</v>
      </c>
      <c r="F95" t="s">
        <v>16</v>
      </c>
      <c r="G95">
        <v>0</v>
      </c>
      <c r="H95">
        <v>159</v>
      </c>
      <c r="I95" t="s">
        <v>24</v>
      </c>
      <c r="J95">
        <v>0</v>
      </c>
      <c r="K95">
        <v>2</v>
      </c>
      <c r="L95">
        <v>1</v>
      </c>
      <c r="M95">
        <v>2</v>
      </c>
      <c r="N95" t="s">
        <v>18</v>
      </c>
    </row>
    <row r="96" spans="1:14" x14ac:dyDescent="0.3">
      <c r="A96">
        <v>45</v>
      </c>
      <c r="B96" t="s">
        <v>21</v>
      </c>
      <c r="C96" t="s">
        <v>22</v>
      </c>
      <c r="D96">
        <v>112</v>
      </c>
      <c r="E96">
        <v>160</v>
      </c>
      <c r="F96" t="s">
        <v>20</v>
      </c>
      <c r="G96">
        <v>1</v>
      </c>
      <c r="H96">
        <v>138</v>
      </c>
      <c r="I96" t="s">
        <v>17</v>
      </c>
      <c r="J96">
        <v>0</v>
      </c>
      <c r="K96">
        <v>1</v>
      </c>
      <c r="L96">
        <v>0</v>
      </c>
      <c r="M96">
        <v>2</v>
      </c>
      <c r="N96" t="s">
        <v>18</v>
      </c>
    </row>
    <row r="97" spans="1:14" x14ac:dyDescent="0.3">
      <c r="A97">
        <v>53</v>
      </c>
      <c r="B97" t="s">
        <v>14</v>
      </c>
      <c r="C97" t="s">
        <v>23</v>
      </c>
      <c r="D97">
        <v>142</v>
      </c>
      <c r="E97">
        <v>226</v>
      </c>
      <c r="F97" t="s">
        <v>20</v>
      </c>
      <c r="G97">
        <v>0</v>
      </c>
      <c r="H97">
        <v>111</v>
      </c>
      <c r="I97" t="s">
        <v>24</v>
      </c>
      <c r="J97">
        <v>0</v>
      </c>
      <c r="K97">
        <v>2</v>
      </c>
      <c r="L97">
        <v>0</v>
      </c>
      <c r="M97">
        <v>3</v>
      </c>
      <c r="N97" t="s">
        <v>18</v>
      </c>
    </row>
    <row r="98" spans="1:14" x14ac:dyDescent="0.3">
      <c r="A98">
        <v>62</v>
      </c>
      <c r="B98" t="s">
        <v>21</v>
      </c>
      <c r="C98" t="s">
        <v>23</v>
      </c>
      <c r="D98">
        <v>140</v>
      </c>
      <c r="E98">
        <v>394</v>
      </c>
      <c r="F98" t="s">
        <v>20</v>
      </c>
      <c r="G98">
        <v>0</v>
      </c>
      <c r="H98">
        <v>157</v>
      </c>
      <c r="I98" t="s">
        <v>17</v>
      </c>
      <c r="J98">
        <v>1.2</v>
      </c>
      <c r="K98">
        <v>1</v>
      </c>
      <c r="L98">
        <v>0</v>
      </c>
      <c r="M98">
        <v>2</v>
      </c>
      <c r="N98" t="s">
        <v>18</v>
      </c>
    </row>
    <row r="99" spans="1:14" x14ac:dyDescent="0.3">
      <c r="A99">
        <v>52</v>
      </c>
      <c r="B99" t="s">
        <v>14</v>
      </c>
      <c r="C99" t="s">
        <v>23</v>
      </c>
      <c r="D99">
        <v>108</v>
      </c>
      <c r="E99">
        <v>233</v>
      </c>
      <c r="F99" t="s">
        <v>16</v>
      </c>
      <c r="G99">
        <v>1</v>
      </c>
      <c r="H99">
        <v>147</v>
      </c>
      <c r="I99" t="s">
        <v>17</v>
      </c>
      <c r="J99">
        <v>0.1</v>
      </c>
      <c r="K99">
        <v>2</v>
      </c>
      <c r="L99">
        <v>3</v>
      </c>
      <c r="M99">
        <v>3</v>
      </c>
      <c r="N99" t="s">
        <v>18</v>
      </c>
    </row>
    <row r="100" spans="1:14" x14ac:dyDescent="0.3">
      <c r="A100">
        <v>43</v>
      </c>
      <c r="B100" t="s">
        <v>14</v>
      </c>
      <c r="C100" t="s">
        <v>19</v>
      </c>
      <c r="D100">
        <v>130</v>
      </c>
      <c r="E100">
        <v>315</v>
      </c>
      <c r="F100" t="s">
        <v>20</v>
      </c>
      <c r="G100">
        <v>1</v>
      </c>
      <c r="H100">
        <v>162</v>
      </c>
      <c r="I100" t="s">
        <v>17</v>
      </c>
      <c r="J100">
        <v>1.9</v>
      </c>
      <c r="K100">
        <v>2</v>
      </c>
      <c r="L100">
        <v>1</v>
      </c>
      <c r="M100">
        <v>2</v>
      </c>
      <c r="N100" t="s">
        <v>18</v>
      </c>
    </row>
    <row r="101" spans="1:14" x14ac:dyDescent="0.3">
      <c r="A101">
        <v>53</v>
      </c>
      <c r="B101" t="s">
        <v>14</v>
      </c>
      <c r="C101" t="s">
        <v>19</v>
      </c>
      <c r="D101">
        <v>130</v>
      </c>
      <c r="E101">
        <v>246</v>
      </c>
      <c r="F101" t="s">
        <v>16</v>
      </c>
      <c r="G101">
        <v>0</v>
      </c>
      <c r="H101">
        <v>173</v>
      </c>
      <c r="I101" t="s">
        <v>17</v>
      </c>
      <c r="J101">
        <v>0</v>
      </c>
      <c r="K101">
        <v>2</v>
      </c>
      <c r="L101">
        <v>3</v>
      </c>
      <c r="M101">
        <v>2</v>
      </c>
      <c r="N101" t="s">
        <v>18</v>
      </c>
    </row>
    <row r="102" spans="1:14" x14ac:dyDescent="0.3">
      <c r="A102">
        <v>42</v>
      </c>
      <c r="B102" t="s">
        <v>14</v>
      </c>
      <c r="C102" t="s">
        <v>15</v>
      </c>
      <c r="D102">
        <v>148</v>
      </c>
      <c r="E102">
        <v>244</v>
      </c>
      <c r="F102" t="s">
        <v>20</v>
      </c>
      <c r="G102">
        <v>0</v>
      </c>
      <c r="H102">
        <v>178</v>
      </c>
      <c r="I102" t="s">
        <v>17</v>
      </c>
      <c r="J102">
        <v>0.8</v>
      </c>
      <c r="K102">
        <v>2</v>
      </c>
      <c r="L102">
        <v>2</v>
      </c>
      <c r="M102">
        <v>2</v>
      </c>
      <c r="N102" t="s">
        <v>18</v>
      </c>
    </row>
    <row r="103" spans="1:14" x14ac:dyDescent="0.3">
      <c r="A103">
        <v>59</v>
      </c>
      <c r="B103" t="s">
        <v>14</v>
      </c>
      <c r="C103" t="s">
        <v>15</v>
      </c>
      <c r="D103">
        <v>178</v>
      </c>
      <c r="E103">
        <v>270</v>
      </c>
      <c r="F103" t="s">
        <v>20</v>
      </c>
      <c r="G103">
        <v>0</v>
      </c>
      <c r="H103">
        <v>145</v>
      </c>
      <c r="I103" t="s">
        <v>17</v>
      </c>
      <c r="J103">
        <v>4.2</v>
      </c>
      <c r="K103">
        <v>0</v>
      </c>
      <c r="L103">
        <v>0</v>
      </c>
      <c r="M103">
        <v>3</v>
      </c>
      <c r="N103" t="s">
        <v>18</v>
      </c>
    </row>
    <row r="104" spans="1:14" x14ac:dyDescent="0.3">
      <c r="A104">
        <v>63</v>
      </c>
      <c r="B104" t="s">
        <v>21</v>
      </c>
      <c r="C104" t="s">
        <v>22</v>
      </c>
      <c r="D104">
        <v>140</v>
      </c>
      <c r="E104">
        <v>195</v>
      </c>
      <c r="F104" t="s">
        <v>20</v>
      </c>
      <c r="G104">
        <v>1</v>
      </c>
      <c r="H104">
        <v>179</v>
      </c>
      <c r="I104" t="s">
        <v>17</v>
      </c>
      <c r="J104">
        <v>0</v>
      </c>
      <c r="K104">
        <v>2</v>
      </c>
      <c r="L104">
        <v>2</v>
      </c>
      <c r="M104">
        <v>2</v>
      </c>
      <c r="N104" t="s">
        <v>18</v>
      </c>
    </row>
    <row r="105" spans="1:14" x14ac:dyDescent="0.3">
      <c r="A105">
        <v>42</v>
      </c>
      <c r="B105" t="s">
        <v>14</v>
      </c>
      <c r="C105" t="s">
        <v>19</v>
      </c>
      <c r="D105">
        <v>120</v>
      </c>
      <c r="E105">
        <v>240</v>
      </c>
      <c r="F105" t="s">
        <v>16</v>
      </c>
      <c r="G105">
        <v>1</v>
      </c>
      <c r="H105">
        <v>194</v>
      </c>
      <c r="I105" t="s">
        <v>17</v>
      </c>
      <c r="J105">
        <v>0.8</v>
      </c>
      <c r="K105">
        <v>0</v>
      </c>
      <c r="L105">
        <v>0</v>
      </c>
      <c r="M105">
        <v>3</v>
      </c>
      <c r="N105" t="s">
        <v>18</v>
      </c>
    </row>
    <row r="106" spans="1:14" x14ac:dyDescent="0.3">
      <c r="A106">
        <v>50</v>
      </c>
      <c r="B106" t="s">
        <v>14</v>
      </c>
      <c r="C106" t="s">
        <v>19</v>
      </c>
      <c r="D106">
        <v>129</v>
      </c>
      <c r="E106">
        <v>196</v>
      </c>
      <c r="F106" t="s">
        <v>20</v>
      </c>
      <c r="G106">
        <v>1</v>
      </c>
      <c r="H106">
        <v>163</v>
      </c>
      <c r="I106" t="s">
        <v>17</v>
      </c>
      <c r="J106">
        <v>0</v>
      </c>
      <c r="K106">
        <v>2</v>
      </c>
      <c r="L106">
        <v>0</v>
      </c>
      <c r="M106">
        <v>2</v>
      </c>
      <c r="N106" t="s">
        <v>18</v>
      </c>
    </row>
    <row r="107" spans="1:14" x14ac:dyDescent="0.3">
      <c r="A107">
        <v>68</v>
      </c>
      <c r="B107" t="s">
        <v>21</v>
      </c>
      <c r="C107" t="s">
        <v>19</v>
      </c>
      <c r="D107">
        <v>120</v>
      </c>
      <c r="E107">
        <v>211</v>
      </c>
      <c r="F107" t="s">
        <v>20</v>
      </c>
      <c r="G107">
        <v>0</v>
      </c>
      <c r="H107">
        <v>115</v>
      </c>
      <c r="I107" t="s">
        <v>17</v>
      </c>
      <c r="J107">
        <v>1.5</v>
      </c>
      <c r="K107">
        <v>1</v>
      </c>
      <c r="L107">
        <v>0</v>
      </c>
      <c r="M107">
        <v>2</v>
      </c>
      <c r="N107" t="s">
        <v>18</v>
      </c>
    </row>
    <row r="108" spans="1:14" x14ac:dyDescent="0.3">
      <c r="A108">
        <v>69</v>
      </c>
      <c r="B108" t="s">
        <v>14</v>
      </c>
      <c r="C108" t="s">
        <v>15</v>
      </c>
      <c r="D108">
        <v>160</v>
      </c>
      <c r="E108">
        <v>234</v>
      </c>
      <c r="F108" t="s">
        <v>16</v>
      </c>
      <c r="G108">
        <v>0</v>
      </c>
      <c r="H108">
        <v>131</v>
      </c>
      <c r="I108" t="s">
        <v>17</v>
      </c>
      <c r="J108">
        <v>0.1</v>
      </c>
      <c r="K108">
        <v>1</v>
      </c>
      <c r="L108">
        <v>1</v>
      </c>
      <c r="M108">
        <v>2</v>
      </c>
      <c r="N108" t="s">
        <v>18</v>
      </c>
    </row>
    <row r="109" spans="1:14" x14ac:dyDescent="0.3">
      <c r="A109">
        <v>45</v>
      </c>
      <c r="B109" t="s">
        <v>21</v>
      </c>
      <c r="C109" t="s">
        <v>23</v>
      </c>
      <c r="D109">
        <v>138</v>
      </c>
      <c r="E109">
        <v>236</v>
      </c>
      <c r="F109" t="s">
        <v>20</v>
      </c>
      <c r="G109">
        <v>0</v>
      </c>
      <c r="H109">
        <v>152</v>
      </c>
      <c r="I109" t="s">
        <v>24</v>
      </c>
      <c r="J109">
        <v>0.2</v>
      </c>
      <c r="K109">
        <v>1</v>
      </c>
      <c r="L109">
        <v>0</v>
      </c>
      <c r="M109">
        <v>2</v>
      </c>
      <c r="N109" t="s">
        <v>18</v>
      </c>
    </row>
    <row r="110" spans="1:14" x14ac:dyDescent="0.3">
      <c r="A110">
        <v>50</v>
      </c>
      <c r="B110" t="s">
        <v>21</v>
      </c>
      <c r="C110" t="s">
        <v>22</v>
      </c>
      <c r="D110">
        <v>120</v>
      </c>
      <c r="E110">
        <v>244</v>
      </c>
      <c r="F110" t="s">
        <v>20</v>
      </c>
      <c r="G110">
        <v>1</v>
      </c>
      <c r="H110">
        <v>162</v>
      </c>
      <c r="I110" t="s">
        <v>17</v>
      </c>
      <c r="J110">
        <v>1.1000000000000001</v>
      </c>
      <c r="K110">
        <v>2</v>
      </c>
      <c r="L110">
        <v>0</v>
      </c>
      <c r="M110">
        <v>2</v>
      </c>
      <c r="N110" t="s">
        <v>18</v>
      </c>
    </row>
    <row r="111" spans="1:14" x14ac:dyDescent="0.3">
      <c r="A111">
        <v>50</v>
      </c>
      <c r="B111" t="s">
        <v>21</v>
      </c>
      <c r="C111" t="s">
        <v>23</v>
      </c>
      <c r="D111">
        <v>110</v>
      </c>
      <c r="E111">
        <v>254</v>
      </c>
      <c r="F111" t="s">
        <v>20</v>
      </c>
      <c r="G111">
        <v>0</v>
      </c>
      <c r="H111">
        <v>159</v>
      </c>
      <c r="I111" t="s">
        <v>17</v>
      </c>
      <c r="J111">
        <v>0</v>
      </c>
      <c r="K111">
        <v>2</v>
      </c>
      <c r="L111">
        <v>0</v>
      </c>
      <c r="M111">
        <v>2</v>
      </c>
      <c r="N111" t="s">
        <v>18</v>
      </c>
    </row>
    <row r="112" spans="1:14" x14ac:dyDescent="0.3">
      <c r="A112">
        <v>64</v>
      </c>
      <c r="B112" t="s">
        <v>21</v>
      </c>
      <c r="C112" t="s">
        <v>23</v>
      </c>
      <c r="D112">
        <v>180</v>
      </c>
      <c r="E112">
        <v>325</v>
      </c>
      <c r="F112" t="s">
        <v>20</v>
      </c>
      <c r="G112">
        <v>1</v>
      </c>
      <c r="H112">
        <v>154</v>
      </c>
      <c r="I112" t="s">
        <v>24</v>
      </c>
      <c r="J112">
        <v>0</v>
      </c>
      <c r="K112">
        <v>2</v>
      </c>
      <c r="L112">
        <v>0</v>
      </c>
      <c r="M112">
        <v>2</v>
      </c>
      <c r="N112" t="s">
        <v>18</v>
      </c>
    </row>
    <row r="113" spans="1:14" x14ac:dyDescent="0.3">
      <c r="A113">
        <v>57</v>
      </c>
      <c r="B113" t="s">
        <v>14</v>
      </c>
      <c r="C113" t="s">
        <v>19</v>
      </c>
      <c r="D113">
        <v>150</v>
      </c>
      <c r="E113">
        <v>126</v>
      </c>
      <c r="F113" t="s">
        <v>16</v>
      </c>
      <c r="G113">
        <v>1</v>
      </c>
      <c r="H113">
        <v>173</v>
      </c>
      <c r="I113" t="s">
        <v>17</v>
      </c>
      <c r="J113">
        <v>0.2</v>
      </c>
      <c r="K113">
        <v>2</v>
      </c>
      <c r="L113">
        <v>1</v>
      </c>
      <c r="M113">
        <v>3</v>
      </c>
      <c r="N113" t="s">
        <v>18</v>
      </c>
    </row>
    <row r="114" spans="1:14" x14ac:dyDescent="0.3">
      <c r="A114">
        <v>64</v>
      </c>
      <c r="B114" t="s">
        <v>21</v>
      </c>
      <c r="C114" t="s">
        <v>19</v>
      </c>
      <c r="D114">
        <v>140</v>
      </c>
      <c r="E114">
        <v>313</v>
      </c>
      <c r="F114" t="s">
        <v>20</v>
      </c>
      <c r="G114">
        <v>1</v>
      </c>
      <c r="H114">
        <v>133</v>
      </c>
      <c r="I114" t="s">
        <v>17</v>
      </c>
      <c r="J114">
        <v>0.2</v>
      </c>
      <c r="K114">
        <v>2</v>
      </c>
      <c r="L114">
        <v>0</v>
      </c>
      <c r="M114">
        <v>3</v>
      </c>
      <c r="N114" t="s">
        <v>18</v>
      </c>
    </row>
    <row r="115" spans="1:14" x14ac:dyDescent="0.3">
      <c r="A115">
        <v>43</v>
      </c>
      <c r="B115" t="s">
        <v>14</v>
      </c>
      <c r="C115" t="s">
        <v>23</v>
      </c>
      <c r="D115">
        <v>110</v>
      </c>
      <c r="E115">
        <v>211</v>
      </c>
      <c r="F115" t="s">
        <v>20</v>
      </c>
      <c r="G115">
        <v>1</v>
      </c>
      <c r="H115">
        <v>161</v>
      </c>
      <c r="I115" t="s">
        <v>17</v>
      </c>
      <c r="J115">
        <v>0</v>
      </c>
      <c r="K115">
        <v>2</v>
      </c>
      <c r="L115">
        <v>0</v>
      </c>
      <c r="M115">
        <v>3</v>
      </c>
      <c r="N115" t="s">
        <v>18</v>
      </c>
    </row>
    <row r="116" spans="1:14" x14ac:dyDescent="0.3">
      <c r="A116">
        <v>55</v>
      </c>
      <c r="B116" t="s">
        <v>14</v>
      </c>
      <c r="C116" t="s">
        <v>22</v>
      </c>
      <c r="D116">
        <v>130</v>
      </c>
      <c r="E116">
        <v>262</v>
      </c>
      <c r="F116" t="s">
        <v>20</v>
      </c>
      <c r="G116">
        <v>1</v>
      </c>
      <c r="H116">
        <v>155</v>
      </c>
      <c r="I116" t="s">
        <v>17</v>
      </c>
      <c r="J116">
        <v>0</v>
      </c>
      <c r="K116">
        <v>2</v>
      </c>
      <c r="L116">
        <v>0</v>
      </c>
      <c r="M116">
        <v>2</v>
      </c>
      <c r="N116" t="s">
        <v>18</v>
      </c>
    </row>
    <row r="117" spans="1:14" x14ac:dyDescent="0.3">
      <c r="A117">
        <v>37</v>
      </c>
      <c r="B117" t="s">
        <v>21</v>
      </c>
      <c r="C117" t="s">
        <v>19</v>
      </c>
      <c r="D117">
        <v>120</v>
      </c>
      <c r="E117">
        <v>215</v>
      </c>
      <c r="F117" t="s">
        <v>20</v>
      </c>
      <c r="G117">
        <v>1</v>
      </c>
      <c r="H117">
        <v>170</v>
      </c>
      <c r="I117" t="s">
        <v>17</v>
      </c>
      <c r="J117">
        <v>0</v>
      </c>
      <c r="K117">
        <v>2</v>
      </c>
      <c r="L117">
        <v>0</v>
      </c>
      <c r="M117">
        <v>2</v>
      </c>
      <c r="N117" t="s">
        <v>18</v>
      </c>
    </row>
    <row r="118" spans="1:14" x14ac:dyDescent="0.3">
      <c r="A118">
        <v>41</v>
      </c>
      <c r="B118" t="s">
        <v>14</v>
      </c>
      <c r="C118" t="s">
        <v>19</v>
      </c>
      <c r="D118">
        <v>130</v>
      </c>
      <c r="E118">
        <v>214</v>
      </c>
      <c r="F118" t="s">
        <v>20</v>
      </c>
      <c r="G118">
        <v>0</v>
      </c>
      <c r="H118">
        <v>168</v>
      </c>
      <c r="I118" t="s">
        <v>17</v>
      </c>
      <c r="J118">
        <v>2</v>
      </c>
      <c r="K118">
        <v>1</v>
      </c>
      <c r="L118">
        <v>0</v>
      </c>
      <c r="M118">
        <v>2</v>
      </c>
      <c r="N118" t="s">
        <v>18</v>
      </c>
    </row>
    <row r="119" spans="1:14" x14ac:dyDescent="0.3">
      <c r="A119">
        <v>56</v>
      </c>
      <c r="B119" t="s">
        <v>14</v>
      </c>
      <c r="C119" t="s">
        <v>15</v>
      </c>
      <c r="D119">
        <v>120</v>
      </c>
      <c r="E119">
        <v>193</v>
      </c>
      <c r="F119" t="s">
        <v>20</v>
      </c>
      <c r="G119">
        <v>0</v>
      </c>
      <c r="H119">
        <v>162</v>
      </c>
      <c r="I119" t="s">
        <v>17</v>
      </c>
      <c r="J119">
        <v>1.9</v>
      </c>
      <c r="K119">
        <v>1</v>
      </c>
      <c r="L119">
        <v>0</v>
      </c>
      <c r="M119">
        <v>3</v>
      </c>
      <c r="N119" t="s">
        <v>18</v>
      </c>
    </row>
    <row r="120" spans="1:14" x14ac:dyDescent="0.3">
      <c r="A120">
        <v>46</v>
      </c>
      <c r="B120" t="s">
        <v>21</v>
      </c>
      <c r="C120" t="s">
        <v>22</v>
      </c>
      <c r="D120">
        <v>105</v>
      </c>
      <c r="E120">
        <v>204</v>
      </c>
      <c r="F120" t="s">
        <v>20</v>
      </c>
      <c r="G120">
        <v>1</v>
      </c>
      <c r="H120">
        <v>172</v>
      </c>
      <c r="I120" t="s">
        <v>17</v>
      </c>
      <c r="J120">
        <v>0</v>
      </c>
      <c r="K120">
        <v>2</v>
      </c>
      <c r="L120">
        <v>0</v>
      </c>
      <c r="M120">
        <v>2</v>
      </c>
      <c r="N120" t="s">
        <v>18</v>
      </c>
    </row>
    <row r="121" spans="1:14" x14ac:dyDescent="0.3">
      <c r="A121">
        <v>46</v>
      </c>
      <c r="B121" t="s">
        <v>21</v>
      </c>
      <c r="C121" t="s">
        <v>23</v>
      </c>
      <c r="D121">
        <v>138</v>
      </c>
      <c r="E121">
        <v>243</v>
      </c>
      <c r="F121" t="s">
        <v>20</v>
      </c>
      <c r="G121">
        <v>0</v>
      </c>
      <c r="H121">
        <v>152</v>
      </c>
      <c r="I121" t="s">
        <v>24</v>
      </c>
      <c r="J121">
        <v>0</v>
      </c>
      <c r="K121">
        <v>1</v>
      </c>
      <c r="L121">
        <v>0</v>
      </c>
      <c r="M121">
        <v>2</v>
      </c>
      <c r="N121" t="s">
        <v>18</v>
      </c>
    </row>
    <row r="122" spans="1:14" x14ac:dyDescent="0.3">
      <c r="A122">
        <v>64</v>
      </c>
      <c r="B122" t="s">
        <v>21</v>
      </c>
      <c r="C122" t="s">
        <v>23</v>
      </c>
      <c r="D122">
        <v>130</v>
      </c>
      <c r="E122">
        <v>303</v>
      </c>
      <c r="F122" t="s">
        <v>20</v>
      </c>
      <c r="G122">
        <v>1</v>
      </c>
      <c r="H122">
        <v>122</v>
      </c>
      <c r="I122" t="s">
        <v>17</v>
      </c>
      <c r="J122">
        <v>2</v>
      </c>
      <c r="K122">
        <v>1</v>
      </c>
      <c r="L122">
        <v>2</v>
      </c>
      <c r="M122">
        <v>2</v>
      </c>
      <c r="N122" t="s">
        <v>18</v>
      </c>
    </row>
    <row r="123" spans="1:14" x14ac:dyDescent="0.3">
      <c r="A123">
        <v>59</v>
      </c>
      <c r="B123" t="s">
        <v>14</v>
      </c>
      <c r="C123" t="s">
        <v>23</v>
      </c>
      <c r="D123">
        <v>138</v>
      </c>
      <c r="E123">
        <v>271</v>
      </c>
      <c r="F123" t="s">
        <v>20</v>
      </c>
      <c r="G123">
        <v>0</v>
      </c>
      <c r="H123">
        <v>182</v>
      </c>
      <c r="I123" t="s">
        <v>17</v>
      </c>
      <c r="J123">
        <v>0</v>
      </c>
      <c r="K123">
        <v>2</v>
      </c>
      <c r="L123">
        <v>0</v>
      </c>
      <c r="M123">
        <v>2</v>
      </c>
      <c r="N123" t="s">
        <v>18</v>
      </c>
    </row>
    <row r="124" spans="1:14" x14ac:dyDescent="0.3">
      <c r="A124">
        <v>41</v>
      </c>
      <c r="B124" t="s">
        <v>21</v>
      </c>
      <c r="C124" t="s">
        <v>19</v>
      </c>
      <c r="D124">
        <v>112</v>
      </c>
      <c r="E124">
        <v>268</v>
      </c>
      <c r="F124" t="s">
        <v>20</v>
      </c>
      <c r="G124">
        <v>0</v>
      </c>
      <c r="H124">
        <v>172</v>
      </c>
      <c r="I124" t="s">
        <v>24</v>
      </c>
      <c r="J124">
        <v>0</v>
      </c>
      <c r="K124">
        <v>2</v>
      </c>
      <c r="L124">
        <v>0</v>
      </c>
      <c r="M124">
        <v>2</v>
      </c>
      <c r="N124" t="s">
        <v>18</v>
      </c>
    </row>
    <row r="125" spans="1:14" x14ac:dyDescent="0.3">
      <c r="A125">
        <v>54</v>
      </c>
      <c r="B125" t="s">
        <v>21</v>
      </c>
      <c r="C125" t="s">
        <v>19</v>
      </c>
      <c r="D125">
        <v>108</v>
      </c>
      <c r="E125">
        <v>267</v>
      </c>
      <c r="F125" t="s">
        <v>20</v>
      </c>
      <c r="G125">
        <v>0</v>
      </c>
      <c r="H125">
        <v>167</v>
      </c>
      <c r="I125" t="s">
        <v>17</v>
      </c>
      <c r="J125">
        <v>0</v>
      </c>
      <c r="K125">
        <v>2</v>
      </c>
      <c r="L125">
        <v>0</v>
      </c>
      <c r="M125">
        <v>2</v>
      </c>
      <c r="N125" t="s">
        <v>18</v>
      </c>
    </row>
    <row r="126" spans="1:14" x14ac:dyDescent="0.3">
      <c r="A126">
        <v>39</v>
      </c>
      <c r="B126" t="s">
        <v>21</v>
      </c>
      <c r="C126" t="s">
        <v>19</v>
      </c>
      <c r="D126">
        <v>94</v>
      </c>
      <c r="E126">
        <v>199</v>
      </c>
      <c r="F126" t="s">
        <v>20</v>
      </c>
      <c r="G126">
        <v>1</v>
      </c>
      <c r="H126">
        <v>179</v>
      </c>
      <c r="I126" t="s">
        <v>17</v>
      </c>
      <c r="J126">
        <v>0</v>
      </c>
      <c r="K126">
        <v>2</v>
      </c>
      <c r="L126">
        <v>0</v>
      </c>
      <c r="M126">
        <v>2</v>
      </c>
      <c r="N126" t="s">
        <v>18</v>
      </c>
    </row>
    <row r="127" spans="1:14" x14ac:dyDescent="0.3">
      <c r="A127">
        <v>34</v>
      </c>
      <c r="B127" t="s">
        <v>21</v>
      </c>
      <c r="C127" t="s">
        <v>22</v>
      </c>
      <c r="D127">
        <v>118</v>
      </c>
      <c r="E127">
        <v>210</v>
      </c>
      <c r="F127" t="s">
        <v>20</v>
      </c>
      <c r="G127">
        <v>1</v>
      </c>
      <c r="H127">
        <v>192</v>
      </c>
      <c r="I127" t="s">
        <v>17</v>
      </c>
      <c r="J127">
        <v>0.7</v>
      </c>
      <c r="K127">
        <v>2</v>
      </c>
      <c r="L127">
        <v>0</v>
      </c>
      <c r="M127">
        <v>2</v>
      </c>
      <c r="N127" t="s">
        <v>18</v>
      </c>
    </row>
    <row r="128" spans="1:14" x14ac:dyDescent="0.3">
      <c r="A128">
        <v>47</v>
      </c>
      <c r="B128" t="s">
        <v>14</v>
      </c>
      <c r="C128" t="s">
        <v>23</v>
      </c>
      <c r="D128">
        <v>112</v>
      </c>
      <c r="E128">
        <v>204</v>
      </c>
      <c r="F128" t="s">
        <v>20</v>
      </c>
      <c r="G128">
        <v>1</v>
      </c>
      <c r="H128">
        <v>143</v>
      </c>
      <c r="I128" t="s">
        <v>17</v>
      </c>
      <c r="J128">
        <v>0.1</v>
      </c>
      <c r="K128">
        <v>2</v>
      </c>
      <c r="L128">
        <v>0</v>
      </c>
      <c r="M128">
        <v>2</v>
      </c>
      <c r="N128" t="s">
        <v>18</v>
      </c>
    </row>
    <row r="129" spans="1:14" x14ac:dyDescent="0.3">
      <c r="A129">
        <v>67</v>
      </c>
      <c r="B129" t="s">
        <v>21</v>
      </c>
      <c r="C129" t="s">
        <v>19</v>
      </c>
      <c r="D129">
        <v>152</v>
      </c>
      <c r="E129">
        <v>277</v>
      </c>
      <c r="F129" t="s">
        <v>20</v>
      </c>
      <c r="G129">
        <v>1</v>
      </c>
      <c r="H129">
        <v>172</v>
      </c>
      <c r="I129" t="s">
        <v>17</v>
      </c>
      <c r="J129">
        <v>0</v>
      </c>
      <c r="K129">
        <v>2</v>
      </c>
      <c r="L129">
        <v>1</v>
      </c>
      <c r="M129">
        <v>2</v>
      </c>
      <c r="N129" t="s">
        <v>18</v>
      </c>
    </row>
    <row r="130" spans="1:14" x14ac:dyDescent="0.3">
      <c r="A130">
        <v>52</v>
      </c>
      <c r="B130" t="s">
        <v>21</v>
      </c>
      <c r="C130" t="s">
        <v>19</v>
      </c>
      <c r="D130">
        <v>136</v>
      </c>
      <c r="E130">
        <v>196</v>
      </c>
      <c r="F130" t="s">
        <v>20</v>
      </c>
      <c r="G130">
        <v>0</v>
      </c>
      <c r="H130">
        <v>169</v>
      </c>
      <c r="I130" t="s">
        <v>17</v>
      </c>
      <c r="J130">
        <v>0.1</v>
      </c>
      <c r="K130">
        <v>1</v>
      </c>
      <c r="L130">
        <v>0</v>
      </c>
      <c r="M130">
        <v>2</v>
      </c>
      <c r="N130" t="s">
        <v>18</v>
      </c>
    </row>
    <row r="131" spans="1:14" x14ac:dyDescent="0.3">
      <c r="A131">
        <v>74</v>
      </c>
      <c r="B131" t="s">
        <v>21</v>
      </c>
      <c r="C131" t="s">
        <v>22</v>
      </c>
      <c r="D131">
        <v>120</v>
      </c>
      <c r="E131">
        <v>269</v>
      </c>
      <c r="F131" t="s">
        <v>20</v>
      </c>
      <c r="G131">
        <v>0</v>
      </c>
      <c r="H131">
        <v>121</v>
      </c>
      <c r="I131" t="s">
        <v>24</v>
      </c>
      <c r="J131">
        <v>0.2</v>
      </c>
      <c r="K131">
        <v>2</v>
      </c>
      <c r="L131">
        <v>1</v>
      </c>
      <c r="M131">
        <v>2</v>
      </c>
      <c r="N131" t="s">
        <v>18</v>
      </c>
    </row>
    <row r="132" spans="1:14" x14ac:dyDescent="0.3">
      <c r="A132">
        <v>54</v>
      </c>
      <c r="B132" t="s">
        <v>21</v>
      </c>
      <c r="C132" t="s">
        <v>19</v>
      </c>
      <c r="D132">
        <v>160</v>
      </c>
      <c r="E132">
        <v>201</v>
      </c>
      <c r="F132" t="s">
        <v>20</v>
      </c>
      <c r="G132">
        <v>1</v>
      </c>
      <c r="H132">
        <v>163</v>
      </c>
      <c r="I132" t="s">
        <v>17</v>
      </c>
      <c r="J132">
        <v>0</v>
      </c>
      <c r="K132">
        <v>2</v>
      </c>
      <c r="L132">
        <v>1</v>
      </c>
      <c r="M132">
        <v>2</v>
      </c>
      <c r="N132" t="s">
        <v>18</v>
      </c>
    </row>
    <row r="133" spans="1:14" x14ac:dyDescent="0.3">
      <c r="A133">
        <v>49</v>
      </c>
      <c r="B133" t="s">
        <v>21</v>
      </c>
      <c r="C133" t="s">
        <v>22</v>
      </c>
      <c r="D133">
        <v>134</v>
      </c>
      <c r="E133">
        <v>271</v>
      </c>
      <c r="F133" t="s">
        <v>20</v>
      </c>
      <c r="G133">
        <v>1</v>
      </c>
      <c r="H133">
        <v>162</v>
      </c>
      <c r="I133" t="s">
        <v>17</v>
      </c>
      <c r="J133">
        <v>0</v>
      </c>
      <c r="K133">
        <v>1</v>
      </c>
      <c r="L133">
        <v>0</v>
      </c>
      <c r="M133">
        <v>2</v>
      </c>
      <c r="N133" t="s">
        <v>18</v>
      </c>
    </row>
    <row r="134" spans="1:14" x14ac:dyDescent="0.3">
      <c r="A134">
        <v>42</v>
      </c>
      <c r="B134" t="s">
        <v>14</v>
      </c>
      <c r="C134" t="s">
        <v>22</v>
      </c>
      <c r="D134">
        <v>120</v>
      </c>
      <c r="E134">
        <v>295</v>
      </c>
      <c r="F134" t="s">
        <v>20</v>
      </c>
      <c r="G134">
        <v>1</v>
      </c>
      <c r="H134">
        <v>162</v>
      </c>
      <c r="I134" t="s">
        <v>17</v>
      </c>
      <c r="J134">
        <v>0</v>
      </c>
      <c r="K134">
        <v>2</v>
      </c>
      <c r="L134">
        <v>0</v>
      </c>
      <c r="M134">
        <v>2</v>
      </c>
      <c r="N134" t="s">
        <v>18</v>
      </c>
    </row>
    <row r="135" spans="1:14" x14ac:dyDescent="0.3">
      <c r="A135">
        <v>41</v>
      </c>
      <c r="B135" t="s">
        <v>14</v>
      </c>
      <c r="C135" t="s">
        <v>22</v>
      </c>
      <c r="D135">
        <v>110</v>
      </c>
      <c r="E135">
        <v>235</v>
      </c>
      <c r="F135" t="s">
        <v>20</v>
      </c>
      <c r="G135">
        <v>1</v>
      </c>
      <c r="H135">
        <v>153</v>
      </c>
      <c r="I135" t="s">
        <v>17</v>
      </c>
      <c r="J135">
        <v>0</v>
      </c>
      <c r="K135">
        <v>2</v>
      </c>
      <c r="L135">
        <v>0</v>
      </c>
      <c r="M135">
        <v>2</v>
      </c>
      <c r="N135" t="s">
        <v>18</v>
      </c>
    </row>
    <row r="136" spans="1:14" x14ac:dyDescent="0.3">
      <c r="A136">
        <v>41</v>
      </c>
      <c r="B136" t="s">
        <v>21</v>
      </c>
      <c r="C136" t="s">
        <v>22</v>
      </c>
      <c r="D136">
        <v>126</v>
      </c>
      <c r="E136">
        <v>306</v>
      </c>
      <c r="F136" t="s">
        <v>20</v>
      </c>
      <c r="G136">
        <v>1</v>
      </c>
      <c r="H136">
        <v>163</v>
      </c>
      <c r="I136" t="s">
        <v>17</v>
      </c>
      <c r="J136">
        <v>0</v>
      </c>
      <c r="K136">
        <v>2</v>
      </c>
      <c r="L136">
        <v>0</v>
      </c>
      <c r="M136">
        <v>2</v>
      </c>
      <c r="N136" t="s">
        <v>18</v>
      </c>
    </row>
    <row r="137" spans="1:14" x14ac:dyDescent="0.3">
      <c r="A137">
        <v>49</v>
      </c>
      <c r="B137" t="s">
        <v>21</v>
      </c>
      <c r="C137" t="s">
        <v>23</v>
      </c>
      <c r="D137">
        <v>130</v>
      </c>
      <c r="E137">
        <v>269</v>
      </c>
      <c r="F137" t="s">
        <v>20</v>
      </c>
      <c r="G137">
        <v>1</v>
      </c>
      <c r="H137">
        <v>163</v>
      </c>
      <c r="I137" t="s">
        <v>17</v>
      </c>
      <c r="J137">
        <v>0</v>
      </c>
      <c r="K137">
        <v>2</v>
      </c>
      <c r="L137">
        <v>0</v>
      </c>
      <c r="M137">
        <v>2</v>
      </c>
      <c r="N137" t="s">
        <v>18</v>
      </c>
    </row>
    <row r="138" spans="1:14" x14ac:dyDescent="0.3">
      <c r="A138">
        <v>60</v>
      </c>
      <c r="B138" t="s">
        <v>21</v>
      </c>
      <c r="C138" t="s">
        <v>19</v>
      </c>
      <c r="D138">
        <v>120</v>
      </c>
      <c r="E138">
        <v>178</v>
      </c>
      <c r="F138" t="s">
        <v>16</v>
      </c>
      <c r="G138">
        <v>1</v>
      </c>
      <c r="H138">
        <v>96</v>
      </c>
      <c r="I138" t="s">
        <v>17</v>
      </c>
      <c r="J138">
        <v>0</v>
      </c>
      <c r="K138">
        <v>2</v>
      </c>
      <c r="L138">
        <v>0</v>
      </c>
      <c r="M138">
        <v>2</v>
      </c>
      <c r="N138" t="s">
        <v>18</v>
      </c>
    </row>
    <row r="139" spans="1:14" x14ac:dyDescent="0.3">
      <c r="A139">
        <v>62</v>
      </c>
      <c r="B139" t="s">
        <v>14</v>
      </c>
      <c r="C139" t="s">
        <v>22</v>
      </c>
      <c r="D139">
        <v>128</v>
      </c>
      <c r="E139">
        <v>208</v>
      </c>
      <c r="F139" t="s">
        <v>16</v>
      </c>
      <c r="G139">
        <v>0</v>
      </c>
      <c r="H139">
        <v>140</v>
      </c>
      <c r="I139" t="s">
        <v>17</v>
      </c>
      <c r="J139">
        <v>0</v>
      </c>
      <c r="K139">
        <v>2</v>
      </c>
      <c r="L139">
        <v>0</v>
      </c>
      <c r="M139">
        <v>2</v>
      </c>
      <c r="N139" t="s">
        <v>18</v>
      </c>
    </row>
    <row r="140" spans="1:14" x14ac:dyDescent="0.3">
      <c r="A140">
        <v>57</v>
      </c>
      <c r="B140" t="s">
        <v>14</v>
      </c>
      <c r="C140" t="s">
        <v>23</v>
      </c>
      <c r="D140">
        <v>110</v>
      </c>
      <c r="E140">
        <v>201</v>
      </c>
      <c r="F140" t="s">
        <v>20</v>
      </c>
      <c r="G140">
        <v>1</v>
      </c>
      <c r="H140">
        <v>126</v>
      </c>
      <c r="I140" t="s">
        <v>24</v>
      </c>
      <c r="J140">
        <v>1.5</v>
      </c>
      <c r="K140">
        <v>1</v>
      </c>
      <c r="L140">
        <v>0</v>
      </c>
      <c r="M140">
        <v>1</v>
      </c>
      <c r="N140" t="s">
        <v>18</v>
      </c>
    </row>
    <row r="141" spans="1:14" x14ac:dyDescent="0.3">
      <c r="A141">
        <v>64</v>
      </c>
      <c r="B141" t="s">
        <v>14</v>
      </c>
      <c r="C141" t="s">
        <v>23</v>
      </c>
      <c r="D141">
        <v>128</v>
      </c>
      <c r="E141">
        <v>263</v>
      </c>
      <c r="F141" t="s">
        <v>20</v>
      </c>
      <c r="G141">
        <v>1</v>
      </c>
      <c r="H141">
        <v>105</v>
      </c>
      <c r="I141" t="s">
        <v>24</v>
      </c>
      <c r="J141">
        <v>0.2</v>
      </c>
      <c r="K141">
        <v>1</v>
      </c>
      <c r="L141">
        <v>1</v>
      </c>
      <c r="M141">
        <v>3</v>
      </c>
      <c r="N141" t="s">
        <v>18</v>
      </c>
    </row>
    <row r="142" spans="1:14" x14ac:dyDescent="0.3">
      <c r="A142">
        <v>51</v>
      </c>
      <c r="B142" t="s">
        <v>21</v>
      </c>
      <c r="C142" t="s">
        <v>19</v>
      </c>
      <c r="D142">
        <v>120</v>
      </c>
      <c r="E142">
        <v>295</v>
      </c>
      <c r="F142" t="s">
        <v>20</v>
      </c>
      <c r="G142">
        <v>0</v>
      </c>
      <c r="H142">
        <v>157</v>
      </c>
      <c r="I142" t="s">
        <v>17</v>
      </c>
      <c r="J142">
        <v>0.6</v>
      </c>
      <c r="K142">
        <v>2</v>
      </c>
      <c r="L142">
        <v>0</v>
      </c>
      <c r="M142">
        <v>2</v>
      </c>
      <c r="N142" t="s">
        <v>18</v>
      </c>
    </row>
    <row r="143" spans="1:14" x14ac:dyDescent="0.3">
      <c r="A143">
        <v>43</v>
      </c>
      <c r="B143" t="s">
        <v>14</v>
      </c>
      <c r="C143" t="s">
        <v>23</v>
      </c>
      <c r="D143">
        <v>115</v>
      </c>
      <c r="E143">
        <v>303</v>
      </c>
      <c r="F143" t="s">
        <v>20</v>
      </c>
      <c r="G143">
        <v>1</v>
      </c>
      <c r="H143">
        <v>181</v>
      </c>
      <c r="I143" t="s">
        <v>17</v>
      </c>
      <c r="J143">
        <v>1.2</v>
      </c>
      <c r="K143">
        <v>1</v>
      </c>
      <c r="L143">
        <v>0</v>
      </c>
      <c r="M143">
        <v>2</v>
      </c>
      <c r="N143" t="s">
        <v>18</v>
      </c>
    </row>
    <row r="144" spans="1:14" x14ac:dyDescent="0.3">
      <c r="A144">
        <v>42</v>
      </c>
      <c r="B144" t="s">
        <v>21</v>
      </c>
      <c r="C144" t="s">
        <v>19</v>
      </c>
      <c r="D144">
        <v>120</v>
      </c>
      <c r="E144">
        <v>209</v>
      </c>
      <c r="F144" t="s">
        <v>20</v>
      </c>
      <c r="G144">
        <v>1</v>
      </c>
      <c r="H144">
        <v>173</v>
      </c>
      <c r="I144" t="s">
        <v>17</v>
      </c>
      <c r="J144">
        <v>0</v>
      </c>
      <c r="K144">
        <v>1</v>
      </c>
      <c r="L144">
        <v>0</v>
      </c>
      <c r="M144">
        <v>2</v>
      </c>
      <c r="N144" t="s">
        <v>18</v>
      </c>
    </row>
    <row r="145" spans="1:14" x14ac:dyDescent="0.3">
      <c r="A145">
        <v>67</v>
      </c>
      <c r="B145" t="s">
        <v>21</v>
      </c>
      <c r="C145" t="s">
        <v>23</v>
      </c>
      <c r="D145">
        <v>106</v>
      </c>
      <c r="E145">
        <v>223</v>
      </c>
      <c r="F145" t="s">
        <v>20</v>
      </c>
      <c r="G145">
        <v>1</v>
      </c>
      <c r="H145">
        <v>142</v>
      </c>
      <c r="I145" t="s">
        <v>17</v>
      </c>
      <c r="J145">
        <v>0.3</v>
      </c>
      <c r="K145">
        <v>2</v>
      </c>
      <c r="L145">
        <v>2</v>
      </c>
      <c r="M145">
        <v>2</v>
      </c>
      <c r="N145" t="s">
        <v>18</v>
      </c>
    </row>
    <row r="146" spans="1:14" x14ac:dyDescent="0.3">
      <c r="A146">
        <v>76</v>
      </c>
      <c r="B146" t="s">
        <v>21</v>
      </c>
      <c r="C146" t="s">
        <v>19</v>
      </c>
      <c r="D146">
        <v>140</v>
      </c>
      <c r="E146">
        <v>197</v>
      </c>
      <c r="F146" t="s">
        <v>20</v>
      </c>
      <c r="G146">
        <v>2</v>
      </c>
      <c r="H146">
        <v>116</v>
      </c>
      <c r="I146" t="s">
        <v>17</v>
      </c>
      <c r="J146">
        <v>1.1000000000000001</v>
      </c>
      <c r="K146">
        <v>1</v>
      </c>
      <c r="L146">
        <v>0</v>
      </c>
      <c r="M146">
        <v>2</v>
      </c>
      <c r="N146" t="s">
        <v>18</v>
      </c>
    </row>
    <row r="147" spans="1:14" x14ac:dyDescent="0.3">
      <c r="A147">
        <v>70</v>
      </c>
      <c r="B147" t="s">
        <v>14</v>
      </c>
      <c r="C147" t="s">
        <v>22</v>
      </c>
      <c r="D147">
        <v>156</v>
      </c>
      <c r="E147">
        <v>245</v>
      </c>
      <c r="F147" t="s">
        <v>20</v>
      </c>
      <c r="G147">
        <v>0</v>
      </c>
      <c r="H147">
        <v>143</v>
      </c>
      <c r="I147" t="s">
        <v>17</v>
      </c>
      <c r="J147">
        <v>0</v>
      </c>
      <c r="K147">
        <v>2</v>
      </c>
      <c r="L147">
        <v>0</v>
      </c>
      <c r="M147">
        <v>2</v>
      </c>
      <c r="N147" t="s">
        <v>18</v>
      </c>
    </row>
    <row r="148" spans="1:14" x14ac:dyDescent="0.3">
      <c r="A148">
        <v>44</v>
      </c>
      <c r="B148" t="s">
        <v>21</v>
      </c>
      <c r="C148" t="s">
        <v>19</v>
      </c>
      <c r="D148">
        <v>118</v>
      </c>
      <c r="E148">
        <v>242</v>
      </c>
      <c r="F148" t="s">
        <v>20</v>
      </c>
      <c r="G148">
        <v>1</v>
      </c>
      <c r="H148">
        <v>149</v>
      </c>
      <c r="I148" t="s">
        <v>17</v>
      </c>
      <c r="J148">
        <v>0.3</v>
      </c>
      <c r="K148">
        <v>1</v>
      </c>
      <c r="L148">
        <v>1</v>
      </c>
      <c r="M148">
        <v>2</v>
      </c>
      <c r="N148" t="s">
        <v>18</v>
      </c>
    </row>
    <row r="149" spans="1:14" x14ac:dyDescent="0.3">
      <c r="A149">
        <v>60</v>
      </c>
      <c r="B149" t="s">
        <v>21</v>
      </c>
      <c r="C149" t="s">
        <v>15</v>
      </c>
      <c r="D149">
        <v>150</v>
      </c>
      <c r="E149">
        <v>240</v>
      </c>
      <c r="F149" t="s">
        <v>20</v>
      </c>
      <c r="G149">
        <v>1</v>
      </c>
      <c r="H149">
        <v>171</v>
      </c>
      <c r="I149" t="s">
        <v>17</v>
      </c>
      <c r="J149">
        <v>0.9</v>
      </c>
      <c r="K149">
        <v>2</v>
      </c>
      <c r="L149">
        <v>0</v>
      </c>
      <c r="M149">
        <v>2</v>
      </c>
      <c r="N149" t="s">
        <v>18</v>
      </c>
    </row>
    <row r="150" spans="1:14" x14ac:dyDescent="0.3">
      <c r="A150">
        <v>44</v>
      </c>
      <c r="B150" t="s">
        <v>14</v>
      </c>
      <c r="C150" t="s">
        <v>19</v>
      </c>
      <c r="D150">
        <v>120</v>
      </c>
      <c r="E150">
        <v>226</v>
      </c>
      <c r="F150" t="s">
        <v>20</v>
      </c>
      <c r="G150">
        <v>1</v>
      </c>
      <c r="H150">
        <v>169</v>
      </c>
      <c r="I150" t="s">
        <v>17</v>
      </c>
      <c r="J150">
        <v>0</v>
      </c>
      <c r="K150">
        <v>2</v>
      </c>
      <c r="L150">
        <v>0</v>
      </c>
      <c r="M150">
        <v>2</v>
      </c>
      <c r="N150" t="s">
        <v>18</v>
      </c>
    </row>
    <row r="151" spans="1:14" x14ac:dyDescent="0.3">
      <c r="A151">
        <v>42</v>
      </c>
      <c r="B151" t="s">
        <v>14</v>
      </c>
      <c r="C151" t="s">
        <v>19</v>
      </c>
      <c r="D151">
        <v>130</v>
      </c>
      <c r="E151">
        <v>180</v>
      </c>
      <c r="F151" t="s">
        <v>20</v>
      </c>
      <c r="G151">
        <v>1</v>
      </c>
      <c r="H151">
        <v>150</v>
      </c>
      <c r="I151" t="s">
        <v>17</v>
      </c>
      <c r="J151">
        <v>0</v>
      </c>
      <c r="K151">
        <v>2</v>
      </c>
      <c r="L151">
        <v>0</v>
      </c>
      <c r="M151">
        <v>2</v>
      </c>
      <c r="N151" t="s">
        <v>18</v>
      </c>
    </row>
    <row r="152" spans="1:14" x14ac:dyDescent="0.3">
      <c r="A152">
        <v>66</v>
      </c>
      <c r="B152" t="s">
        <v>14</v>
      </c>
      <c r="C152" t="s">
        <v>23</v>
      </c>
      <c r="D152">
        <v>160</v>
      </c>
      <c r="E152">
        <v>228</v>
      </c>
      <c r="F152" t="s">
        <v>20</v>
      </c>
      <c r="G152">
        <v>0</v>
      </c>
      <c r="H152">
        <v>138</v>
      </c>
      <c r="I152" t="s">
        <v>17</v>
      </c>
      <c r="J152">
        <v>2.2999999999999998</v>
      </c>
      <c r="K152">
        <v>2</v>
      </c>
      <c r="L152">
        <v>0</v>
      </c>
      <c r="M152">
        <v>1</v>
      </c>
      <c r="N152" t="s">
        <v>18</v>
      </c>
    </row>
    <row r="153" spans="1:14" x14ac:dyDescent="0.3">
      <c r="A153">
        <v>71</v>
      </c>
      <c r="B153" t="s">
        <v>21</v>
      </c>
      <c r="C153" t="s">
        <v>23</v>
      </c>
      <c r="D153">
        <v>112</v>
      </c>
      <c r="E153">
        <v>149</v>
      </c>
      <c r="F153" t="s">
        <v>20</v>
      </c>
      <c r="G153">
        <v>1</v>
      </c>
      <c r="H153">
        <v>125</v>
      </c>
      <c r="I153" t="s">
        <v>17</v>
      </c>
      <c r="J153">
        <v>1.6</v>
      </c>
      <c r="K153">
        <v>1</v>
      </c>
      <c r="L153">
        <v>0</v>
      </c>
      <c r="M153">
        <v>2</v>
      </c>
      <c r="N153" t="s">
        <v>18</v>
      </c>
    </row>
    <row r="154" spans="1:14" x14ac:dyDescent="0.3">
      <c r="A154">
        <v>64</v>
      </c>
      <c r="B154" t="s">
        <v>14</v>
      </c>
      <c r="C154" t="s">
        <v>15</v>
      </c>
      <c r="D154">
        <v>170</v>
      </c>
      <c r="E154">
        <v>227</v>
      </c>
      <c r="F154" t="s">
        <v>20</v>
      </c>
      <c r="G154">
        <v>0</v>
      </c>
      <c r="H154">
        <v>155</v>
      </c>
      <c r="I154" t="s">
        <v>17</v>
      </c>
      <c r="J154">
        <v>0.6</v>
      </c>
      <c r="K154">
        <v>1</v>
      </c>
      <c r="L154">
        <v>0</v>
      </c>
      <c r="M154">
        <v>3</v>
      </c>
      <c r="N154" t="s">
        <v>18</v>
      </c>
    </row>
    <row r="155" spans="1:14" x14ac:dyDescent="0.3">
      <c r="A155">
        <v>66</v>
      </c>
      <c r="B155" t="s">
        <v>21</v>
      </c>
      <c r="C155" t="s">
        <v>19</v>
      </c>
      <c r="D155">
        <v>146</v>
      </c>
      <c r="E155">
        <v>278</v>
      </c>
      <c r="F155" t="s">
        <v>20</v>
      </c>
      <c r="G155">
        <v>0</v>
      </c>
      <c r="H155">
        <v>152</v>
      </c>
      <c r="I155" t="s">
        <v>17</v>
      </c>
      <c r="J155">
        <v>0</v>
      </c>
      <c r="K155">
        <v>1</v>
      </c>
      <c r="L155">
        <v>1</v>
      </c>
      <c r="M155">
        <v>2</v>
      </c>
      <c r="N155" t="s">
        <v>18</v>
      </c>
    </row>
    <row r="156" spans="1:14" x14ac:dyDescent="0.3">
      <c r="A156">
        <v>39</v>
      </c>
      <c r="B156" t="s">
        <v>21</v>
      </c>
      <c r="C156" t="s">
        <v>19</v>
      </c>
      <c r="D156">
        <v>138</v>
      </c>
      <c r="E156">
        <v>220</v>
      </c>
      <c r="F156" t="s">
        <v>20</v>
      </c>
      <c r="G156">
        <v>1</v>
      </c>
      <c r="H156">
        <v>152</v>
      </c>
      <c r="I156" t="s">
        <v>17</v>
      </c>
      <c r="J156">
        <v>0</v>
      </c>
      <c r="K156">
        <v>1</v>
      </c>
      <c r="L156">
        <v>0</v>
      </c>
      <c r="M156">
        <v>2</v>
      </c>
      <c r="N156" t="s">
        <v>18</v>
      </c>
    </row>
    <row r="157" spans="1:14" x14ac:dyDescent="0.3">
      <c r="A157">
        <v>58</v>
      </c>
      <c r="B157" t="s">
        <v>21</v>
      </c>
      <c r="C157" t="s">
        <v>23</v>
      </c>
      <c r="D157">
        <v>130</v>
      </c>
      <c r="E157">
        <v>197</v>
      </c>
      <c r="F157" t="s">
        <v>20</v>
      </c>
      <c r="G157">
        <v>1</v>
      </c>
      <c r="H157">
        <v>131</v>
      </c>
      <c r="I157" t="s">
        <v>17</v>
      </c>
      <c r="J157">
        <v>0.6</v>
      </c>
      <c r="K157">
        <v>1</v>
      </c>
      <c r="L157">
        <v>0</v>
      </c>
      <c r="M157">
        <v>2</v>
      </c>
      <c r="N157" t="s">
        <v>18</v>
      </c>
    </row>
    <row r="158" spans="1:14" x14ac:dyDescent="0.3">
      <c r="A158">
        <v>47</v>
      </c>
      <c r="B158" t="s">
        <v>14</v>
      </c>
      <c r="C158" t="s">
        <v>19</v>
      </c>
      <c r="D158">
        <v>130</v>
      </c>
      <c r="E158">
        <v>253</v>
      </c>
      <c r="F158" t="s">
        <v>20</v>
      </c>
      <c r="G158">
        <v>1</v>
      </c>
      <c r="H158">
        <v>179</v>
      </c>
      <c r="I158" t="s">
        <v>17</v>
      </c>
      <c r="J158">
        <v>0</v>
      </c>
      <c r="K158">
        <v>2</v>
      </c>
      <c r="L158">
        <v>0</v>
      </c>
      <c r="M158">
        <v>2</v>
      </c>
      <c r="N158" t="s">
        <v>18</v>
      </c>
    </row>
    <row r="159" spans="1:14" x14ac:dyDescent="0.3">
      <c r="A159">
        <v>35</v>
      </c>
      <c r="B159" t="s">
        <v>14</v>
      </c>
      <c r="C159" t="s">
        <v>22</v>
      </c>
      <c r="D159">
        <v>122</v>
      </c>
      <c r="E159">
        <v>192</v>
      </c>
      <c r="F159" t="s">
        <v>20</v>
      </c>
      <c r="G159">
        <v>1</v>
      </c>
      <c r="H159">
        <v>174</v>
      </c>
      <c r="I159" t="s">
        <v>17</v>
      </c>
      <c r="J159">
        <v>0</v>
      </c>
      <c r="K159">
        <v>2</v>
      </c>
      <c r="L159">
        <v>0</v>
      </c>
      <c r="M159">
        <v>2</v>
      </c>
      <c r="N159" t="s">
        <v>18</v>
      </c>
    </row>
    <row r="160" spans="1:14" x14ac:dyDescent="0.3">
      <c r="A160">
        <v>58</v>
      </c>
      <c r="B160" t="s">
        <v>14</v>
      </c>
      <c r="C160" t="s">
        <v>22</v>
      </c>
      <c r="D160">
        <v>125</v>
      </c>
      <c r="E160">
        <v>220</v>
      </c>
      <c r="F160" t="s">
        <v>20</v>
      </c>
      <c r="G160">
        <v>1</v>
      </c>
      <c r="H160">
        <v>144</v>
      </c>
      <c r="I160" t="s">
        <v>17</v>
      </c>
      <c r="J160">
        <v>0.4</v>
      </c>
      <c r="K160">
        <v>1</v>
      </c>
      <c r="L160">
        <v>4</v>
      </c>
      <c r="M160">
        <v>3</v>
      </c>
      <c r="N160" t="s">
        <v>18</v>
      </c>
    </row>
    <row r="161" spans="1:14" x14ac:dyDescent="0.3">
      <c r="A161">
        <v>56</v>
      </c>
      <c r="B161" t="s">
        <v>14</v>
      </c>
      <c r="C161" t="s">
        <v>22</v>
      </c>
      <c r="D161">
        <v>130</v>
      </c>
      <c r="E161">
        <v>221</v>
      </c>
      <c r="F161" t="s">
        <v>20</v>
      </c>
      <c r="G161">
        <v>0</v>
      </c>
      <c r="H161">
        <v>163</v>
      </c>
      <c r="I161" t="s">
        <v>17</v>
      </c>
      <c r="J161">
        <v>0</v>
      </c>
      <c r="K161">
        <v>2</v>
      </c>
      <c r="L161">
        <v>0</v>
      </c>
      <c r="M161">
        <v>3</v>
      </c>
      <c r="N161" t="s">
        <v>18</v>
      </c>
    </row>
    <row r="162" spans="1:14" x14ac:dyDescent="0.3">
      <c r="A162">
        <v>56</v>
      </c>
      <c r="B162" t="s">
        <v>14</v>
      </c>
      <c r="C162" t="s">
        <v>22</v>
      </c>
      <c r="D162">
        <v>120</v>
      </c>
      <c r="E162">
        <v>240</v>
      </c>
      <c r="F162" t="s">
        <v>20</v>
      </c>
      <c r="G162">
        <v>1</v>
      </c>
      <c r="H162">
        <v>169</v>
      </c>
      <c r="I162" t="s">
        <v>17</v>
      </c>
      <c r="J162">
        <v>0</v>
      </c>
      <c r="K162">
        <v>0</v>
      </c>
      <c r="L162">
        <v>0</v>
      </c>
      <c r="M162">
        <v>2</v>
      </c>
      <c r="N162" t="s">
        <v>18</v>
      </c>
    </row>
    <row r="163" spans="1:14" x14ac:dyDescent="0.3">
      <c r="A163">
        <v>55</v>
      </c>
      <c r="B163" t="s">
        <v>21</v>
      </c>
      <c r="C163" t="s">
        <v>22</v>
      </c>
      <c r="D163">
        <v>132</v>
      </c>
      <c r="E163">
        <v>342</v>
      </c>
      <c r="F163" t="s">
        <v>20</v>
      </c>
      <c r="G163">
        <v>1</v>
      </c>
      <c r="H163">
        <v>166</v>
      </c>
      <c r="I163" t="s">
        <v>17</v>
      </c>
      <c r="J163">
        <v>1.2</v>
      </c>
      <c r="K163">
        <v>2</v>
      </c>
      <c r="L163">
        <v>0</v>
      </c>
      <c r="M163">
        <v>2</v>
      </c>
      <c r="N163" t="s">
        <v>18</v>
      </c>
    </row>
    <row r="164" spans="1:14" x14ac:dyDescent="0.3">
      <c r="A164">
        <v>41</v>
      </c>
      <c r="B164" t="s">
        <v>14</v>
      </c>
      <c r="C164" t="s">
        <v>22</v>
      </c>
      <c r="D164">
        <v>120</v>
      </c>
      <c r="E164">
        <v>157</v>
      </c>
      <c r="F164" t="s">
        <v>20</v>
      </c>
      <c r="G164">
        <v>1</v>
      </c>
      <c r="H164">
        <v>182</v>
      </c>
      <c r="I164" t="s">
        <v>17</v>
      </c>
      <c r="J164">
        <v>0</v>
      </c>
      <c r="K164">
        <v>2</v>
      </c>
      <c r="L164">
        <v>0</v>
      </c>
      <c r="M164">
        <v>2</v>
      </c>
      <c r="N164" t="s">
        <v>18</v>
      </c>
    </row>
    <row r="165" spans="1:14" x14ac:dyDescent="0.3">
      <c r="A165">
        <v>38</v>
      </c>
      <c r="B165" t="s">
        <v>14</v>
      </c>
      <c r="C165" t="s">
        <v>19</v>
      </c>
      <c r="D165">
        <v>138</v>
      </c>
      <c r="E165">
        <v>175</v>
      </c>
      <c r="F165" t="s">
        <v>20</v>
      </c>
      <c r="G165">
        <v>1</v>
      </c>
      <c r="H165">
        <v>173</v>
      </c>
      <c r="I165" t="s">
        <v>17</v>
      </c>
      <c r="J165">
        <v>0</v>
      </c>
      <c r="K165">
        <v>2</v>
      </c>
      <c r="L165">
        <v>4</v>
      </c>
      <c r="M165">
        <v>2</v>
      </c>
      <c r="N165" t="s">
        <v>18</v>
      </c>
    </row>
    <row r="166" spans="1:14" x14ac:dyDescent="0.3">
      <c r="A166">
        <v>38</v>
      </c>
      <c r="B166" t="s">
        <v>14</v>
      </c>
      <c r="C166" t="s">
        <v>19</v>
      </c>
      <c r="D166">
        <v>138</v>
      </c>
      <c r="E166">
        <v>175</v>
      </c>
      <c r="F166" t="s">
        <v>20</v>
      </c>
      <c r="G166">
        <v>1</v>
      </c>
      <c r="H166">
        <v>173</v>
      </c>
      <c r="I166" t="s">
        <v>17</v>
      </c>
      <c r="J166">
        <v>0</v>
      </c>
      <c r="K166">
        <v>2</v>
      </c>
      <c r="L166">
        <v>4</v>
      </c>
      <c r="M166">
        <v>2</v>
      </c>
      <c r="N166" t="s">
        <v>18</v>
      </c>
    </row>
    <row r="167" spans="1:14" x14ac:dyDescent="0.3">
      <c r="A167">
        <v>67</v>
      </c>
      <c r="B167" t="s">
        <v>14</v>
      </c>
      <c r="C167" t="s">
        <v>23</v>
      </c>
      <c r="D167">
        <v>160</v>
      </c>
      <c r="E167">
        <v>286</v>
      </c>
      <c r="F167" t="s">
        <v>20</v>
      </c>
      <c r="G167">
        <v>0</v>
      </c>
      <c r="H167">
        <v>108</v>
      </c>
      <c r="I167" t="s">
        <v>24</v>
      </c>
      <c r="J167">
        <v>1.5</v>
      </c>
      <c r="K167">
        <v>1</v>
      </c>
      <c r="L167">
        <v>3</v>
      </c>
      <c r="M167">
        <v>2</v>
      </c>
      <c r="N167" t="s">
        <v>25</v>
      </c>
    </row>
    <row r="168" spans="1:14" x14ac:dyDescent="0.3">
      <c r="A168">
        <v>67</v>
      </c>
      <c r="B168" t="s">
        <v>14</v>
      </c>
      <c r="C168" t="s">
        <v>23</v>
      </c>
      <c r="D168">
        <v>120</v>
      </c>
      <c r="E168">
        <v>229</v>
      </c>
      <c r="F168" t="s">
        <v>20</v>
      </c>
      <c r="G168">
        <v>0</v>
      </c>
      <c r="H168">
        <v>129</v>
      </c>
      <c r="I168" t="s">
        <v>24</v>
      </c>
      <c r="J168">
        <v>2.6</v>
      </c>
      <c r="K168">
        <v>1</v>
      </c>
      <c r="L168">
        <v>2</v>
      </c>
      <c r="M168">
        <v>3</v>
      </c>
      <c r="N168" t="s">
        <v>25</v>
      </c>
    </row>
    <row r="169" spans="1:14" x14ac:dyDescent="0.3">
      <c r="A169">
        <v>62</v>
      </c>
      <c r="B169" t="s">
        <v>21</v>
      </c>
      <c r="C169" t="s">
        <v>23</v>
      </c>
      <c r="D169">
        <v>140</v>
      </c>
      <c r="E169">
        <v>268</v>
      </c>
      <c r="F169" t="s">
        <v>20</v>
      </c>
      <c r="G169">
        <v>0</v>
      </c>
      <c r="H169">
        <v>160</v>
      </c>
      <c r="I169" t="s">
        <v>17</v>
      </c>
      <c r="J169">
        <v>3.6</v>
      </c>
      <c r="K169">
        <v>0</v>
      </c>
      <c r="L169">
        <v>2</v>
      </c>
      <c r="M169">
        <v>2</v>
      </c>
      <c r="N169" t="s">
        <v>25</v>
      </c>
    </row>
    <row r="170" spans="1:14" x14ac:dyDescent="0.3">
      <c r="A170">
        <v>63</v>
      </c>
      <c r="B170" t="s">
        <v>14</v>
      </c>
      <c r="C170" t="s">
        <v>23</v>
      </c>
      <c r="D170">
        <v>130</v>
      </c>
      <c r="E170">
        <v>254</v>
      </c>
      <c r="F170" t="s">
        <v>20</v>
      </c>
      <c r="G170">
        <v>0</v>
      </c>
      <c r="H170">
        <v>147</v>
      </c>
      <c r="I170" t="s">
        <v>17</v>
      </c>
      <c r="J170">
        <v>1.4</v>
      </c>
      <c r="K170">
        <v>1</v>
      </c>
      <c r="L170">
        <v>1</v>
      </c>
      <c r="M170">
        <v>3</v>
      </c>
      <c r="N170" t="s">
        <v>25</v>
      </c>
    </row>
    <row r="171" spans="1:14" x14ac:dyDescent="0.3">
      <c r="A171">
        <v>53</v>
      </c>
      <c r="B171" t="s">
        <v>14</v>
      </c>
      <c r="C171" t="s">
        <v>23</v>
      </c>
      <c r="D171">
        <v>140</v>
      </c>
      <c r="E171">
        <v>203</v>
      </c>
      <c r="F171" t="s">
        <v>16</v>
      </c>
      <c r="G171">
        <v>0</v>
      </c>
      <c r="H171">
        <v>155</v>
      </c>
      <c r="I171" t="s">
        <v>24</v>
      </c>
      <c r="J171">
        <v>3.1</v>
      </c>
      <c r="K171">
        <v>0</v>
      </c>
      <c r="L171">
        <v>0</v>
      </c>
      <c r="M171">
        <v>3</v>
      </c>
      <c r="N171" t="s">
        <v>25</v>
      </c>
    </row>
    <row r="172" spans="1:14" x14ac:dyDescent="0.3">
      <c r="A172">
        <v>56</v>
      </c>
      <c r="B172" t="s">
        <v>14</v>
      </c>
      <c r="C172" t="s">
        <v>19</v>
      </c>
      <c r="D172">
        <v>130</v>
      </c>
      <c r="E172">
        <v>256</v>
      </c>
      <c r="F172" t="s">
        <v>16</v>
      </c>
      <c r="G172">
        <v>0</v>
      </c>
      <c r="H172">
        <v>142</v>
      </c>
      <c r="I172" t="s">
        <v>24</v>
      </c>
      <c r="J172">
        <v>0.6</v>
      </c>
      <c r="K172">
        <v>1</v>
      </c>
      <c r="L172">
        <v>1</v>
      </c>
      <c r="M172">
        <v>1</v>
      </c>
      <c r="N172" t="s">
        <v>25</v>
      </c>
    </row>
    <row r="173" spans="1:14" x14ac:dyDescent="0.3">
      <c r="A173">
        <v>48</v>
      </c>
      <c r="B173" t="s">
        <v>14</v>
      </c>
      <c r="C173" t="s">
        <v>22</v>
      </c>
      <c r="D173">
        <v>110</v>
      </c>
      <c r="E173">
        <v>229</v>
      </c>
      <c r="F173" t="s">
        <v>20</v>
      </c>
      <c r="G173">
        <v>1</v>
      </c>
      <c r="H173">
        <v>168</v>
      </c>
      <c r="I173" t="s">
        <v>17</v>
      </c>
      <c r="J173">
        <v>1</v>
      </c>
      <c r="K173">
        <v>0</v>
      </c>
      <c r="L173">
        <v>0</v>
      </c>
      <c r="M173">
        <v>3</v>
      </c>
      <c r="N173" t="s">
        <v>25</v>
      </c>
    </row>
    <row r="174" spans="1:14" x14ac:dyDescent="0.3">
      <c r="A174">
        <v>58</v>
      </c>
      <c r="B174" t="s">
        <v>14</v>
      </c>
      <c r="C174" t="s">
        <v>22</v>
      </c>
      <c r="D174">
        <v>120</v>
      </c>
      <c r="E174">
        <v>284</v>
      </c>
      <c r="F174" t="s">
        <v>20</v>
      </c>
      <c r="G174">
        <v>0</v>
      </c>
      <c r="H174">
        <v>160</v>
      </c>
      <c r="I174" t="s">
        <v>17</v>
      </c>
      <c r="J174">
        <v>1.8</v>
      </c>
      <c r="K174">
        <v>1</v>
      </c>
      <c r="L174">
        <v>0</v>
      </c>
      <c r="M174">
        <v>2</v>
      </c>
      <c r="N174" t="s">
        <v>25</v>
      </c>
    </row>
    <row r="175" spans="1:14" x14ac:dyDescent="0.3">
      <c r="A175">
        <v>58</v>
      </c>
      <c r="B175" t="s">
        <v>14</v>
      </c>
      <c r="C175" t="s">
        <v>19</v>
      </c>
      <c r="D175">
        <v>132</v>
      </c>
      <c r="E175">
        <v>224</v>
      </c>
      <c r="F175" t="s">
        <v>20</v>
      </c>
      <c r="G175">
        <v>0</v>
      </c>
      <c r="H175">
        <v>173</v>
      </c>
      <c r="I175" t="s">
        <v>17</v>
      </c>
      <c r="J175">
        <v>3.2</v>
      </c>
      <c r="K175">
        <v>2</v>
      </c>
      <c r="L175">
        <v>2</v>
      </c>
      <c r="M175">
        <v>3</v>
      </c>
      <c r="N175" t="s">
        <v>25</v>
      </c>
    </row>
    <row r="176" spans="1:14" x14ac:dyDescent="0.3">
      <c r="A176">
        <v>60</v>
      </c>
      <c r="B176" t="s">
        <v>14</v>
      </c>
      <c r="C176" t="s">
        <v>23</v>
      </c>
      <c r="D176">
        <v>130</v>
      </c>
      <c r="E176">
        <v>206</v>
      </c>
      <c r="F176" t="s">
        <v>20</v>
      </c>
      <c r="G176">
        <v>0</v>
      </c>
      <c r="H176">
        <v>132</v>
      </c>
      <c r="I176" t="s">
        <v>24</v>
      </c>
      <c r="J176">
        <v>2.4</v>
      </c>
      <c r="K176">
        <v>1</v>
      </c>
      <c r="L176">
        <v>2</v>
      </c>
      <c r="M176">
        <v>3</v>
      </c>
      <c r="N176" t="s">
        <v>25</v>
      </c>
    </row>
    <row r="177" spans="1:14" x14ac:dyDescent="0.3">
      <c r="A177">
        <v>40</v>
      </c>
      <c r="B177" t="s">
        <v>14</v>
      </c>
      <c r="C177" t="s">
        <v>23</v>
      </c>
      <c r="D177">
        <v>110</v>
      </c>
      <c r="E177">
        <v>167</v>
      </c>
      <c r="F177" t="s">
        <v>20</v>
      </c>
      <c r="G177">
        <v>0</v>
      </c>
      <c r="H177">
        <v>114</v>
      </c>
      <c r="I177" t="s">
        <v>24</v>
      </c>
      <c r="J177">
        <v>2</v>
      </c>
      <c r="K177">
        <v>1</v>
      </c>
      <c r="L177">
        <v>0</v>
      </c>
      <c r="M177">
        <v>3</v>
      </c>
      <c r="N177" t="s">
        <v>25</v>
      </c>
    </row>
    <row r="178" spans="1:14" x14ac:dyDescent="0.3">
      <c r="A178">
        <v>60</v>
      </c>
      <c r="B178" t="s">
        <v>14</v>
      </c>
      <c r="C178" t="s">
        <v>23</v>
      </c>
      <c r="D178">
        <v>117</v>
      </c>
      <c r="E178">
        <v>230</v>
      </c>
      <c r="F178" t="s">
        <v>16</v>
      </c>
      <c r="G178">
        <v>1</v>
      </c>
      <c r="H178">
        <v>160</v>
      </c>
      <c r="I178" t="s">
        <v>24</v>
      </c>
      <c r="J178">
        <v>1.4</v>
      </c>
      <c r="K178">
        <v>2</v>
      </c>
      <c r="L178">
        <v>2</v>
      </c>
      <c r="M178">
        <v>3</v>
      </c>
      <c r="N178" t="s">
        <v>25</v>
      </c>
    </row>
    <row r="179" spans="1:14" x14ac:dyDescent="0.3">
      <c r="A179">
        <v>64</v>
      </c>
      <c r="B179" t="s">
        <v>14</v>
      </c>
      <c r="C179" t="s">
        <v>19</v>
      </c>
      <c r="D179">
        <v>140</v>
      </c>
      <c r="E179">
        <v>335</v>
      </c>
      <c r="F179" t="s">
        <v>20</v>
      </c>
      <c r="G179">
        <v>1</v>
      </c>
      <c r="H179">
        <v>158</v>
      </c>
      <c r="I179" t="s">
        <v>17</v>
      </c>
      <c r="J179">
        <v>0</v>
      </c>
      <c r="K179">
        <v>2</v>
      </c>
      <c r="L179">
        <v>0</v>
      </c>
      <c r="M179">
        <v>2</v>
      </c>
      <c r="N179" t="s">
        <v>25</v>
      </c>
    </row>
    <row r="180" spans="1:14" x14ac:dyDescent="0.3">
      <c r="A180">
        <v>43</v>
      </c>
      <c r="B180" t="s">
        <v>14</v>
      </c>
      <c r="C180" t="s">
        <v>23</v>
      </c>
      <c r="D180">
        <v>120</v>
      </c>
      <c r="E180">
        <v>177</v>
      </c>
      <c r="F180" t="s">
        <v>20</v>
      </c>
      <c r="G180">
        <v>0</v>
      </c>
      <c r="H180">
        <v>120</v>
      </c>
      <c r="I180" t="s">
        <v>24</v>
      </c>
      <c r="J180">
        <v>2.5</v>
      </c>
      <c r="K180">
        <v>1</v>
      </c>
      <c r="L180">
        <v>0</v>
      </c>
      <c r="M180">
        <v>3</v>
      </c>
      <c r="N180" t="s">
        <v>25</v>
      </c>
    </row>
    <row r="181" spans="1:14" x14ac:dyDescent="0.3">
      <c r="A181">
        <v>57</v>
      </c>
      <c r="B181" t="s">
        <v>14</v>
      </c>
      <c r="C181" t="s">
        <v>23</v>
      </c>
      <c r="D181">
        <v>150</v>
      </c>
      <c r="E181">
        <v>276</v>
      </c>
      <c r="F181" t="s">
        <v>20</v>
      </c>
      <c r="G181">
        <v>0</v>
      </c>
      <c r="H181">
        <v>112</v>
      </c>
      <c r="I181" t="s">
        <v>24</v>
      </c>
      <c r="J181">
        <v>0.6</v>
      </c>
      <c r="K181">
        <v>1</v>
      </c>
      <c r="L181">
        <v>1</v>
      </c>
      <c r="M181">
        <v>1</v>
      </c>
      <c r="N181" t="s">
        <v>25</v>
      </c>
    </row>
    <row r="182" spans="1:14" x14ac:dyDescent="0.3">
      <c r="A182">
        <v>55</v>
      </c>
      <c r="B182" t="s">
        <v>14</v>
      </c>
      <c r="C182" t="s">
        <v>23</v>
      </c>
      <c r="D182">
        <v>132</v>
      </c>
      <c r="E182">
        <v>353</v>
      </c>
      <c r="F182" t="s">
        <v>20</v>
      </c>
      <c r="G182">
        <v>1</v>
      </c>
      <c r="H182">
        <v>132</v>
      </c>
      <c r="I182" t="s">
        <v>24</v>
      </c>
      <c r="J182">
        <v>1.2</v>
      </c>
      <c r="K182">
        <v>1</v>
      </c>
      <c r="L182">
        <v>1</v>
      </c>
      <c r="M182">
        <v>3</v>
      </c>
      <c r="N182" t="s">
        <v>25</v>
      </c>
    </row>
    <row r="183" spans="1:14" x14ac:dyDescent="0.3">
      <c r="A183">
        <v>65</v>
      </c>
      <c r="B183" t="s">
        <v>21</v>
      </c>
      <c r="C183" t="s">
        <v>23</v>
      </c>
      <c r="D183">
        <v>150</v>
      </c>
      <c r="E183">
        <v>225</v>
      </c>
      <c r="F183" t="s">
        <v>20</v>
      </c>
      <c r="G183">
        <v>0</v>
      </c>
      <c r="H183">
        <v>114</v>
      </c>
      <c r="I183" t="s">
        <v>17</v>
      </c>
      <c r="J183">
        <v>1</v>
      </c>
      <c r="K183">
        <v>1</v>
      </c>
      <c r="L183">
        <v>3</v>
      </c>
      <c r="M183">
        <v>3</v>
      </c>
      <c r="N183" t="s">
        <v>25</v>
      </c>
    </row>
    <row r="184" spans="1:14" x14ac:dyDescent="0.3">
      <c r="A184">
        <v>61</v>
      </c>
      <c r="B184" t="s">
        <v>21</v>
      </c>
      <c r="C184" t="s">
        <v>23</v>
      </c>
      <c r="D184">
        <v>130</v>
      </c>
      <c r="E184">
        <v>330</v>
      </c>
      <c r="F184" t="s">
        <v>20</v>
      </c>
      <c r="G184">
        <v>0</v>
      </c>
      <c r="H184">
        <v>169</v>
      </c>
      <c r="I184" t="s">
        <v>17</v>
      </c>
      <c r="J184">
        <v>0</v>
      </c>
      <c r="K184">
        <v>2</v>
      </c>
      <c r="L184">
        <v>0</v>
      </c>
      <c r="M184">
        <v>2</v>
      </c>
      <c r="N184" t="s">
        <v>25</v>
      </c>
    </row>
    <row r="185" spans="1:14" x14ac:dyDescent="0.3">
      <c r="A185">
        <v>58</v>
      </c>
      <c r="B185" t="s">
        <v>14</v>
      </c>
      <c r="C185" t="s">
        <v>19</v>
      </c>
      <c r="D185">
        <v>112</v>
      </c>
      <c r="E185">
        <v>230</v>
      </c>
      <c r="F185" t="s">
        <v>20</v>
      </c>
      <c r="G185">
        <v>0</v>
      </c>
      <c r="H185">
        <v>165</v>
      </c>
      <c r="I185" t="s">
        <v>17</v>
      </c>
      <c r="J185">
        <v>2.5</v>
      </c>
      <c r="K185">
        <v>1</v>
      </c>
      <c r="L185">
        <v>1</v>
      </c>
      <c r="M185">
        <v>3</v>
      </c>
      <c r="N185" t="s">
        <v>25</v>
      </c>
    </row>
    <row r="186" spans="1:14" x14ac:dyDescent="0.3">
      <c r="A186">
        <v>50</v>
      </c>
      <c r="B186" t="s">
        <v>14</v>
      </c>
      <c r="C186" t="s">
        <v>23</v>
      </c>
      <c r="D186">
        <v>150</v>
      </c>
      <c r="E186">
        <v>243</v>
      </c>
      <c r="F186" t="s">
        <v>20</v>
      </c>
      <c r="G186">
        <v>0</v>
      </c>
      <c r="H186">
        <v>128</v>
      </c>
      <c r="I186" t="s">
        <v>17</v>
      </c>
      <c r="J186">
        <v>2.6</v>
      </c>
      <c r="K186">
        <v>1</v>
      </c>
      <c r="L186">
        <v>0</v>
      </c>
      <c r="M186">
        <v>3</v>
      </c>
      <c r="N186" t="s">
        <v>25</v>
      </c>
    </row>
    <row r="187" spans="1:14" x14ac:dyDescent="0.3">
      <c r="A187">
        <v>44</v>
      </c>
      <c r="B187" t="s">
        <v>14</v>
      </c>
      <c r="C187" t="s">
        <v>23</v>
      </c>
      <c r="D187">
        <v>112</v>
      </c>
      <c r="E187">
        <v>290</v>
      </c>
      <c r="F187" t="s">
        <v>20</v>
      </c>
      <c r="G187">
        <v>0</v>
      </c>
      <c r="H187">
        <v>153</v>
      </c>
      <c r="I187" t="s">
        <v>17</v>
      </c>
      <c r="J187">
        <v>0</v>
      </c>
      <c r="K187">
        <v>2</v>
      </c>
      <c r="L187">
        <v>1</v>
      </c>
      <c r="M187">
        <v>2</v>
      </c>
      <c r="N187" t="s">
        <v>25</v>
      </c>
    </row>
    <row r="188" spans="1:14" x14ac:dyDescent="0.3">
      <c r="A188">
        <v>60</v>
      </c>
      <c r="B188" t="s">
        <v>14</v>
      </c>
      <c r="C188" t="s">
        <v>23</v>
      </c>
      <c r="D188">
        <v>130</v>
      </c>
      <c r="E188">
        <v>253</v>
      </c>
      <c r="F188" t="s">
        <v>20</v>
      </c>
      <c r="G188">
        <v>1</v>
      </c>
      <c r="H188">
        <v>144</v>
      </c>
      <c r="I188" t="s">
        <v>24</v>
      </c>
      <c r="J188">
        <v>1.4</v>
      </c>
      <c r="K188">
        <v>2</v>
      </c>
      <c r="L188">
        <v>1</v>
      </c>
      <c r="M188">
        <v>3</v>
      </c>
      <c r="N188" t="s">
        <v>25</v>
      </c>
    </row>
    <row r="189" spans="1:14" x14ac:dyDescent="0.3">
      <c r="A189">
        <v>54</v>
      </c>
      <c r="B189" t="s">
        <v>14</v>
      </c>
      <c r="C189" t="s">
        <v>23</v>
      </c>
      <c r="D189">
        <v>124</v>
      </c>
      <c r="E189">
        <v>266</v>
      </c>
      <c r="F189" t="s">
        <v>20</v>
      </c>
      <c r="G189">
        <v>0</v>
      </c>
      <c r="H189">
        <v>109</v>
      </c>
      <c r="I189" t="s">
        <v>24</v>
      </c>
      <c r="J189">
        <v>2.2000000000000002</v>
      </c>
      <c r="K189">
        <v>1</v>
      </c>
      <c r="L189">
        <v>1</v>
      </c>
      <c r="M189">
        <v>3</v>
      </c>
      <c r="N189" t="s">
        <v>25</v>
      </c>
    </row>
    <row r="190" spans="1:14" x14ac:dyDescent="0.3">
      <c r="A190">
        <v>50</v>
      </c>
      <c r="B190" t="s">
        <v>14</v>
      </c>
      <c r="C190" t="s">
        <v>19</v>
      </c>
      <c r="D190">
        <v>140</v>
      </c>
      <c r="E190">
        <v>233</v>
      </c>
      <c r="F190" t="s">
        <v>20</v>
      </c>
      <c r="G190">
        <v>1</v>
      </c>
      <c r="H190">
        <v>163</v>
      </c>
      <c r="I190" t="s">
        <v>17</v>
      </c>
      <c r="J190">
        <v>0.6</v>
      </c>
      <c r="K190">
        <v>1</v>
      </c>
      <c r="L190">
        <v>1</v>
      </c>
      <c r="M190">
        <v>3</v>
      </c>
      <c r="N190" t="s">
        <v>25</v>
      </c>
    </row>
    <row r="191" spans="1:14" x14ac:dyDescent="0.3">
      <c r="A191">
        <v>41</v>
      </c>
      <c r="B191" t="s">
        <v>14</v>
      </c>
      <c r="C191" t="s">
        <v>23</v>
      </c>
      <c r="D191">
        <v>110</v>
      </c>
      <c r="E191">
        <v>172</v>
      </c>
      <c r="F191" t="s">
        <v>20</v>
      </c>
      <c r="G191">
        <v>0</v>
      </c>
      <c r="H191">
        <v>158</v>
      </c>
      <c r="I191" t="s">
        <v>17</v>
      </c>
      <c r="J191">
        <v>0</v>
      </c>
      <c r="K191">
        <v>2</v>
      </c>
      <c r="L191">
        <v>0</v>
      </c>
      <c r="M191">
        <v>3</v>
      </c>
      <c r="N191" t="s">
        <v>25</v>
      </c>
    </row>
    <row r="192" spans="1:14" x14ac:dyDescent="0.3">
      <c r="A192">
        <v>51</v>
      </c>
      <c r="B192" t="s">
        <v>21</v>
      </c>
      <c r="C192" t="s">
        <v>23</v>
      </c>
      <c r="D192">
        <v>130</v>
      </c>
      <c r="E192">
        <v>305</v>
      </c>
      <c r="F192" t="s">
        <v>20</v>
      </c>
      <c r="G192">
        <v>1</v>
      </c>
      <c r="H192">
        <v>142</v>
      </c>
      <c r="I192" t="s">
        <v>24</v>
      </c>
      <c r="J192">
        <v>1.2</v>
      </c>
      <c r="K192">
        <v>1</v>
      </c>
      <c r="L192">
        <v>0</v>
      </c>
      <c r="M192">
        <v>3</v>
      </c>
      <c r="N192" t="s">
        <v>25</v>
      </c>
    </row>
    <row r="193" spans="1:14" x14ac:dyDescent="0.3">
      <c r="A193">
        <v>58</v>
      </c>
      <c r="B193" t="s">
        <v>14</v>
      </c>
      <c r="C193" t="s">
        <v>23</v>
      </c>
      <c r="D193">
        <v>128</v>
      </c>
      <c r="E193">
        <v>216</v>
      </c>
      <c r="F193" t="s">
        <v>20</v>
      </c>
      <c r="G193">
        <v>0</v>
      </c>
      <c r="H193">
        <v>131</v>
      </c>
      <c r="I193" t="s">
        <v>24</v>
      </c>
      <c r="J193">
        <v>2.2000000000000002</v>
      </c>
      <c r="K193">
        <v>1</v>
      </c>
      <c r="L193">
        <v>3</v>
      </c>
      <c r="M193">
        <v>3</v>
      </c>
      <c r="N193" t="s">
        <v>25</v>
      </c>
    </row>
    <row r="194" spans="1:14" x14ac:dyDescent="0.3">
      <c r="A194">
        <v>54</v>
      </c>
      <c r="B194" t="s">
        <v>14</v>
      </c>
      <c r="C194" t="s">
        <v>23</v>
      </c>
      <c r="D194">
        <v>120</v>
      </c>
      <c r="E194">
        <v>188</v>
      </c>
      <c r="F194" t="s">
        <v>20</v>
      </c>
      <c r="G194">
        <v>1</v>
      </c>
      <c r="H194">
        <v>113</v>
      </c>
      <c r="I194" t="s">
        <v>17</v>
      </c>
      <c r="J194">
        <v>1.4</v>
      </c>
      <c r="K194">
        <v>1</v>
      </c>
      <c r="L194">
        <v>1</v>
      </c>
      <c r="M194">
        <v>3</v>
      </c>
      <c r="N194" t="s">
        <v>25</v>
      </c>
    </row>
    <row r="195" spans="1:14" x14ac:dyDescent="0.3">
      <c r="A195">
        <v>60</v>
      </c>
      <c r="B195" t="s">
        <v>14</v>
      </c>
      <c r="C195" t="s">
        <v>23</v>
      </c>
      <c r="D195">
        <v>145</v>
      </c>
      <c r="E195">
        <v>282</v>
      </c>
      <c r="F195" t="s">
        <v>20</v>
      </c>
      <c r="G195">
        <v>0</v>
      </c>
      <c r="H195">
        <v>142</v>
      </c>
      <c r="I195" t="s">
        <v>24</v>
      </c>
      <c r="J195">
        <v>2.8</v>
      </c>
      <c r="K195">
        <v>1</v>
      </c>
      <c r="L195">
        <v>2</v>
      </c>
      <c r="M195">
        <v>3</v>
      </c>
      <c r="N195" t="s">
        <v>25</v>
      </c>
    </row>
    <row r="196" spans="1:14" x14ac:dyDescent="0.3">
      <c r="A196">
        <v>60</v>
      </c>
      <c r="B196" t="s">
        <v>14</v>
      </c>
      <c r="C196" t="s">
        <v>19</v>
      </c>
      <c r="D196">
        <v>140</v>
      </c>
      <c r="E196">
        <v>185</v>
      </c>
      <c r="F196" t="s">
        <v>20</v>
      </c>
      <c r="G196">
        <v>0</v>
      </c>
      <c r="H196">
        <v>155</v>
      </c>
      <c r="I196" t="s">
        <v>17</v>
      </c>
      <c r="J196">
        <v>3</v>
      </c>
      <c r="K196">
        <v>1</v>
      </c>
      <c r="L196">
        <v>0</v>
      </c>
      <c r="M196">
        <v>2</v>
      </c>
      <c r="N196" t="s">
        <v>25</v>
      </c>
    </row>
    <row r="197" spans="1:14" x14ac:dyDescent="0.3">
      <c r="A197">
        <v>59</v>
      </c>
      <c r="B197" t="s">
        <v>14</v>
      </c>
      <c r="C197" t="s">
        <v>23</v>
      </c>
      <c r="D197">
        <v>170</v>
      </c>
      <c r="E197">
        <v>326</v>
      </c>
      <c r="F197" t="s">
        <v>20</v>
      </c>
      <c r="G197">
        <v>0</v>
      </c>
      <c r="H197">
        <v>140</v>
      </c>
      <c r="I197" t="s">
        <v>24</v>
      </c>
      <c r="J197">
        <v>3.4</v>
      </c>
      <c r="K197">
        <v>0</v>
      </c>
      <c r="L197">
        <v>0</v>
      </c>
      <c r="M197">
        <v>3</v>
      </c>
      <c r="N197" t="s">
        <v>25</v>
      </c>
    </row>
    <row r="198" spans="1:14" x14ac:dyDescent="0.3">
      <c r="A198">
        <v>46</v>
      </c>
      <c r="B198" t="s">
        <v>14</v>
      </c>
      <c r="C198" t="s">
        <v>19</v>
      </c>
      <c r="D198">
        <v>150</v>
      </c>
      <c r="E198">
        <v>231</v>
      </c>
      <c r="F198" t="s">
        <v>20</v>
      </c>
      <c r="G198">
        <v>1</v>
      </c>
      <c r="H198">
        <v>147</v>
      </c>
      <c r="I198" t="s">
        <v>17</v>
      </c>
      <c r="J198">
        <v>3.6</v>
      </c>
      <c r="K198">
        <v>1</v>
      </c>
      <c r="L198">
        <v>0</v>
      </c>
      <c r="M198">
        <v>2</v>
      </c>
      <c r="N198" t="s">
        <v>25</v>
      </c>
    </row>
    <row r="199" spans="1:14" x14ac:dyDescent="0.3">
      <c r="A199">
        <v>67</v>
      </c>
      <c r="B199" t="s">
        <v>14</v>
      </c>
      <c r="C199" t="s">
        <v>23</v>
      </c>
      <c r="D199">
        <v>125</v>
      </c>
      <c r="E199">
        <v>254</v>
      </c>
      <c r="F199" t="s">
        <v>16</v>
      </c>
      <c r="G199">
        <v>1</v>
      </c>
      <c r="H199">
        <v>163</v>
      </c>
      <c r="I199" t="s">
        <v>17</v>
      </c>
      <c r="J199">
        <v>0.2</v>
      </c>
      <c r="K199">
        <v>1</v>
      </c>
      <c r="L199">
        <v>2</v>
      </c>
      <c r="M199">
        <v>3</v>
      </c>
      <c r="N199" t="s">
        <v>25</v>
      </c>
    </row>
    <row r="200" spans="1:14" x14ac:dyDescent="0.3">
      <c r="A200">
        <v>62</v>
      </c>
      <c r="B200" t="s">
        <v>14</v>
      </c>
      <c r="C200" t="s">
        <v>23</v>
      </c>
      <c r="D200">
        <v>120</v>
      </c>
      <c r="E200">
        <v>267</v>
      </c>
      <c r="F200" t="s">
        <v>20</v>
      </c>
      <c r="G200">
        <v>1</v>
      </c>
      <c r="H200">
        <v>99</v>
      </c>
      <c r="I200" t="s">
        <v>24</v>
      </c>
      <c r="J200">
        <v>1.8</v>
      </c>
      <c r="K200">
        <v>1</v>
      </c>
      <c r="L200">
        <v>2</v>
      </c>
      <c r="M200">
        <v>3</v>
      </c>
      <c r="N200" t="s">
        <v>25</v>
      </c>
    </row>
    <row r="201" spans="1:14" x14ac:dyDescent="0.3">
      <c r="A201">
        <v>65</v>
      </c>
      <c r="B201" t="s">
        <v>14</v>
      </c>
      <c r="C201" t="s">
        <v>23</v>
      </c>
      <c r="D201">
        <v>110</v>
      </c>
      <c r="E201">
        <v>248</v>
      </c>
      <c r="F201" t="s">
        <v>20</v>
      </c>
      <c r="G201">
        <v>0</v>
      </c>
      <c r="H201">
        <v>158</v>
      </c>
      <c r="I201" t="s">
        <v>17</v>
      </c>
      <c r="J201">
        <v>0.6</v>
      </c>
      <c r="K201">
        <v>2</v>
      </c>
      <c r="L201">
        <v>2</v>
      </c>
      <c r="M201">
        <v>1</v>
      </c>
      <c r="N201" t="s">
        <v>25</v>
      </c>
    </row>
    <row r="202" spans="1:14" x14ac:dyDescent="0.3">
      <c r="A202">
        <v>44</v>
      </c>
      <c r="B202" t="s">
        <v>14</v>
      </c>
      <c r="C202" t="s">
        <v>23</v>
      </c>
      <c r="D202">
        <v>110</v>
      </c>
      <c r="E202">
        <v>197</v>
      </c>
      <c r="F202" t="s">
        <v>20</v>
      </c>
      <c r="G202">
        <v>0</v>
      </c>
      <c r="H202">
        <v>177</v>
      </c>
      <c r="I202" t="s">
        <v>17</v>
      </c>
      <c r="J202">
        <v>0</v>
      </c>
      <c r="K202">
        <v>2</v>
      </c>
      <c r="L202">
        <v>1</v>
      </c>
      <c r="M202">
        <v>2</v>
      </c>
      <c r="N202" t="s">
        <v>25</v>
      </c>
    </row>
    <row r="203" spans="1:14" x14ac:dyDescent="0.3">
      <c r="A203">
        <v>60</v>
      </c>
      <c r="B203" t="s">
        <v>14</v>
      </c>
      <c r="C203" t="s">
        <v>23</v>
      </c>
      <c r="D203">
        <v>125</v>
      </c>
      <c r="E203">
        <v>258</v>
      </c>
      <c r="F203" t="s">
        <v>20</v>
      </c>
      <c r="G203">
        <v>0</v>
      </c>
      <c r="H203">
        <v>141</v>
      </c>
      <c r="I203" t="s">
        <v>24</v>
      </c>
      <c r="J203">
        <v>2.8</v>
      </c>
      <c r="K203">
        <v>1</v>
      </c>
      <c r="L203">
        <v>1</v>
      </c>
      <c r="M203">
        <v>3</v>
      </c>
      <c r="N203" t="s">
        <v>25</v>
      </c>
    </row>
    <row r="204" spans="1:14" x14ac:dyDescent="0.3">
      <c r="A204">
        <v>58</v>
      </c>
      <c r="B204" t="s">
        <v>14</v>
      </c>
      <c r="C204" t="s">
        <v>23</v>
      </c>
      <c r="D204">
        <v>150</v>
      </c>
      <c r="E204">
        <v>270</v>
      </c>
      <c r="F204" t="s">
        <v>20</v>
      </c>
      <c r="G204">
        <v>0</v>
      </c>
      <c r="H204">
        <v>111</v>
      </c>
      <c r="I204" t="s">
        <v>24</v>
      </c>
      <c r="J204">
        <v>0.8</v>
      </c>
      <c r="K204">
        <v>2</v>
      </c>
      <c r="L204">
        <v>0</v>
      </c>
      <c r="M204">
        <v>3</v>
      </c>
      <c r="N204" t="s">
        <v>25</v>
      </c>
    </row>
    <row r="205" spans="1:14" x14ac:dyDescent="0.3">
      <c r="A205">
        <v>68</v>
      </c>
      <c r="B205" t="s">
        <v>14</v>
      </c>
      <c r="C205" t="s">
        <v>19</v>
      </c>
      <c r="D205">
        <v>180</v>
      </c>
      <c r="E205">
        <v>274</v>
      </c>
      <c r="F205" t="s">
        <v>16</v>
      </c>
      <c r="G205">
        <v>0</v>
      </c>
      <c r="H205">
        <v>150</v>
      </c>
      <c r="I205" t="s">
        <v>24</v>
      </c>
      <c r="J205">
        <v>1.6</v>
      </c>
      <c r="K205">
        <v>1</v>
      </c>
      <c r="L205">
        <v>0</v>
      </c>
      <c r="M205">
        <v>3</v>
      </c>
      <c r="N205" t="s">
        <v>25</v>
      </c>
    </row>
    <row r="206" spans="1:14" x14ac:dyDescent="0.3">
      <c r="A206">
        <v>62</v>
      </c>
      <c r="B206" t="s">
        <v>21</v>
      </c>
      <c r="C206" t="s">
        <v>23</v>
      </c>
      <c r="D206">
        <v>160</v>
      </c>
      <c r="E206">
        <v>164</v>
      </c>
      <c r="F206" t="s">
        <v>20</v>
      </c>
      <c r="G206">
        <v>0</v>
      </c>
      <c r="H206">
        <v>145</v>
      </c>
      <c r="I206" t="s">
        <v>17</v>
      </c>
      <c r="J206">
        <v>6.2</v>
      </c>
      <c r="K206">
        <v>0</v>
      </c>
      <c r="L206">
        <v>3</v>
      </c>
      <c r="M206">
        <v>3</v>
      </c>
      <c r="N206" t="s">
        <v>25</v>
      </c>
    </row>
    <row r="207" spans="1:14" x14ac:dyDescent="0.3">
      <c r="A207">
        <v>52</v>
      </c>
      <c r="B207" t="s">
        <v>14</v>
      </c>
      <c r="C207" t="s">
        <v>23</v>
      </c>
      <c r="D207">
        <v>128</v>
      </c>
      <c r="E207">
        <v>255</v>
      </c>
      <c r="F207" t="s">
        <v>20</v>
      </c>
      <c r="G207">
        <v>1</v>
      </c>
      <c r="H207">
        <v>161</v>
      </c>
      <c r="I207" t="s">
        <v>24</v>
      </c>
      <c r="J207">
        <v>0</v>
      </c>
      <c r="K207">
        <v>2</v>
      </c>
      <c r="L207">
        <v>1</v>
      </c>
      <c r="M207">
        <v>3</v>
      </c>
      <c r="N207" t="s">
        <v>25</v>
      </c>
    </row>
    <row r="208" spans="1:14" x14ac:dyDescent="0.3">
      <c r="A208">
        <v>59</v>
      </c>
      <c r="B208" t="s">
        <v>14</v>
      </c>
      <c r="C208" t="s">
        <v>23</v>
      </c>
      <c r="D208">
        <v>110</v>
      </c>
      <c r="E208">
        <v>239</v>
      </c>
      <c r="F208" t="s">
        <v>20</v>
      </c>
      <c r="G208">
        <v>0</v>
      </c>
      <c r="H208">
        <v>142</v>
      </c>
      <c r="I208" t="s">
        <v>24</v>
      </c>
      <c r="J208">
        <v>1.2</v>
      </c>
      <c r="K208">
        <v>1</v>
      </c>
      <c r="L208">
        <v>1</v>
      </c>
      <c r="M208">
        <v>3</v>
      </c>
      <c r="N208" t="s">
        <v>25</v>
      </c>
    </row>
    <row r="209" spans="1:14" x14ac:dyDescent="0.3">
      <c r="A209">
        <v>60</v>
      </c>
      <c r="B209" t="s">
        <v>21</v>
      </c>
      <c r="C209" t="s">
        <v>23</v>
      </c>
      <c r="D209">
        <v>150</v>
      </c>
      <c r="E209">
        <v>258</v>
      </c>
      <c r="F209" t="s">
        <v>20</v>
      </c>
      <c r="G209">
        <v>0</v>
      </c>
      <c r="H209">
        <v>157</v>
      </c>
      <c r="I209" t="s">
        <v>17</v>
      </c>
      <c r="J209">
        <v>2.6</v>
      </c>
      <c r="K209">
        <v>1</v>
      </c>
      <c r="L209">
        <v>2</v>
      </c>
      <c r="M209">
        <v>3</v>
      </c>
      <c r="N209" t="s">
        <v>25</v>
      </c>
    </row>
    <row r="210" spans="1:14" x14ac:dyDescent="0.3">
      <c r="A210">
        <v>49</v>
      </c>
      <c r="B210" t="s">
        <v>14</v>
      </c>
      <c r="C210" t="s">
        <v>19</v>
      </c>
      <c r="D210">
        <v>120</v>
      </c>
      <c r="E210">
        <v>188</v>
      </c>
      <c r="F210" t="s">
        <v>20</v>
      </c>
      <c r="G210">
        <v>1</v>
      </c>
      <c r="H210">
        <v>139</v>
      </c>
      <c r="I210" t="s">
        <v>17</v>
      </c>
      <c r="J210">
        <v>2</v>
      </c>
      <c r="K210">
        <v>1</v>
      </c>
      <c r="L210">
        <v>3</v>
      </c>
      <c r="M210">
        <v>3</v>
      </c>
      <c r="N210" t="s">
        <v>25</v>
      </c>
    </row>
    <row r="211" spans="1:14" x14ac:dyDescent="0.3">
      <c r="A211">
        <v>59</v>
      </c>
      <c r="B211" t="s">
        <v>14</v>
      </c>
      <c r="C211" t="s">
        <v>23</v>
      </c>
      <c r="D211">
        <v>140</v>
      </c>
      <c r="E211">
        <v>177</v>
      </c>
      <c r="F211" t="s">
        <v>20</v>
      </c>
      <c r="G211">
        <v>1</v>
      </c>
      <c r="H211">
        <v>162</v>
      </c>
      <c r="I211" t="s">
        <v>24</v>
      </c>
      <c r="J211">
        <v>0</v>
      </c>
      <c r="K211">
        <v>2</v>
      </c>
      <c r="L211">
        <v>1</v>
      </c>
      <c r="M211">
        <v>3</v>
      </c>
      <c r="N211" t="s">
        <v>25</v>
      </c>
    </row>
    <row r="212" spans="1:14" x14ac:dyDescent="0.3">
      <c r="A212">
        <v>57</v>
      </c>
      <c r="B212" t="s">
        <v>14</v>
      </c>
      <c r="C212" t="s">
        <v>19</v>
      </c>
      <c r="D212">
        <v>128</v>
      </c>
      <c r="E212">
        <v>229</v>
      </c>
      <c r="F212" t="s">
        <v>20</v>
      </c>
      <c r="G212">
        <v>0</v>
      </c>
      <c r="H212">
        <v>150</v>
      </c>
      <c r="I212" t="s">
        <v>17</v>
      </c>
      <c r="J212">
        <v>0.4</v>
      </c>
      <c r="K212">
        <v>1</v>
      </c>
      <c r="L212">
        <v>1</v>
      </c>
      <c r="M212">
        <v>3</v>
      </c>
      <c r="N212" t="s">
        <v>25</v>
      </c>
    </row>
    <row r="213" spans="1:14" x14ac:dyDescent="0.3">
      <c r="A213">
        <v>61</v>
      </c>
      <c r="B213" t="s">
        <v>14</v>
      </c>
      <c r="C213" t="s">
        <v>23</v>
      </c>
      <c r="D213">
        <v>120</v>
      </c>
      <c r="E213">
        <v>260</v>
      </c>
      <c r="F213" t="s">
        <v>20</v>
      </c>
      <c r="G213">
        <v>1</v>
      </c>
      <c r="H213">
        <v>140</v>
      </c>
      <c r="I213" t="s">
        <v>24</v>
      </c>
      <c r="J213">
        <v>3.6</v>
      </c>
      <c r="K213">
        <v>1</v>
      </c>
      <c r="L213">
        <v>1</v>
      </c>
      <c r="M213">
        <v>3</v>
      </c>
      <c r="N213" t="s">
        <v>25</v>
      </c>
    </row>
    <row r="214" spans="1:14" x14ac:dyDescent="0.3">
      <c r="A214">
        <v>39</v>
      </c>
      <c r="B214" t="s">
        <v>14</v>
      </c>
      <c r="C214" t="s">
        <v>23</v>
      </c>
      <c r="D214">
        <v>118</v>
      </c>
      <c r="E214">
        <v>219</v>
      </c>
      <c r="F214" t="s">
        <v>20</v>
      </c>
      <c r="G214">
        <v>1</v>
      </c>
      <c r="H214">
        <v>140</v>
      </c>
      <c r="I214" t="s">
        <v>17</v>
      </c>
      <c r="J214">
        <v>1.2</v>
      </c>
      <c r="K214">
        <v>1</v>
      </c>
      <c r="L214">
        <v>0</v>
      </c>
      <c r="M214">
        <v>3</v>
      </c>
      <c r="N214" t="s">
        <v>25</v>
      </c>
    </row>
    <row r="215" spans="1:14" x14ac:dyDescent="0.3">
      <c r="A215">
        <v>61</v>
      </c>
      <c r="B215" t="s">
        <v>21</v>
      </c>
      <c r="C215" t="s">
        <v>23</v>
      </c>
      <c r="D215">
        <v>145</v>
      </c>
      <c r="E215">
        <v>307</v>
      </c>
      <c r="F215" t="s">
        <v>20</v>
      </c>
      <c r="G215">
        <v>0</v>
      </c>
      <c r="H215">
        <v>146</v>
      </c>
      <c r="I215" t="s">
        <v>24</v>
      </c>
      <c r="J215">
        <v>1</v>
      </c>
      <c r="K215">
        <v>1</v>
      </c>
      <c r="L215">
        <v>0</v>
      </c>
      <c r="M215">
        <v>3</v>
      </c>
      <c r="N215" t="s">
        <v>25</v>
      </c>
    </row>
    <row r="216" spans="1:14" x14ac:dyDescent="0.3">
      <c r="A216">
        <v>56</v>
      </c>
      <c r="B216" t="s">
        <v>14</v>
      </c>
      <c r="C216" t="s">
        <v>23</v>
      </c>
      <c r="D216">
        <v>125</v>
      </c>
      <c r="E216">
        <v>249</v>
      </c>
      <c r="F216" t="s">
        <v>16</v>
      </c>
      <c r="G216">
        <v>0</v>
      </c>
      <c r="H216">
        <v>144</v>
      </c>
      <c r="I216" t="s">
        <v>24</v>
      </c>
      <c r="J216">
        <v>1.2</v>
      </c>
      <c r="K216">
        <v>1</v>
      </c>
      <c r="L216">
        <v>1</v>
      </c>
      <c r="M216">
        <v>2</v>
      </c>
      <c r="N216" t="s">
        <v>25</v>
      </c>
    </row>
    <row r="217" spans="1:14" x14ac:dyDescent="0.3">
      <c r="A217">
        <v>43</v>
      </c>
      <c r="B217" t="s">
        <v>21</v>
      </c>
      <c r="C217" t="s">
        <v>23</v>
      </c>
      <c r="D217">
        <v>132</v>
      </c>
      <c r="E217">
        <v>341</v>
      </c>
      <c r="F217" t="s">
        <v>16</v>
      </c>
      <c r="G217">
        <v>0</v>
      </c>
      <c r="H217">
        <v>136</v>
      </c>
      <c r="I217" t="s">
        <v>24</v>
      </c>
      <c r="J217">
        <v>3</v>
      </c>
      <c r="K217">
        <v>1</v>
      </c>
      <c r="L217">
        <v>0</v>
      </c>
      <c r="M217">
        <v>3</v>
      </c>
      <c r="N217" t="s">
        <v>25</v>
      </c>
    </row>
    <row r="218" spans="1:14" x14ac:dyDescent="0.3">
      <c r="A218">
        <v>62</v>
      </c>
      <c r="B218" t="s">
        <v>21</v>
      </c>
      <c r="C218" t="s">
        <v>19</v>
      </c>
      <c r="D218">
        <v>130</v>
      </c>
      <c r="E218">
        <v>263</v>
      </c>
      <c r="F218" t="s">
        <v>20</v>
      </c>
      <c r="G218">
        <v>1</v>
      </c>
      <c r="H218">
        <v>97</v>
      </c>
      <c r="I218" t="s">
        <v>17</v>
      </c>
      <c r="J218">
        <v>1.2</v>
      </c>
      <c r="K218">
        <v>1</v>
      </c>
      <c r="L218">
        <v>1</v>
      </c>
      <c r="M218">
        <v>3</v>
      </c>
      <c r="N218" t="s">
        <v>25</v>
      </c>
    </row>
    <row r="219" spans="1:14" x14ac:dyDescent="0.3">
      <c r="A219">
        <v>63</v>
      </c>
      <c r="B219" t="s">
        <v>14</v>
      </c>
      <c r="C219" t="s">
        <v>23</v>
      </c>
      <c r="D219">
        <v>130</v>
      </c>
      <c r="E219">
        <v>330</v>
      </c>
      <c r="F219" t="s">
        <v>16</v>
      </c>
      <c r="G219">
        <v>0</v>
      </c>
      <c r="H219">
        <v>132</v>
      </c>
      <c r="I219" t="s">
        <v>24</v>
      </c>
      <c r="J219">
        <v>1.8</v>
      </c>
      <c r="K219">
        <v>2</v>
      </c>
      <c r="L219">
        <v>3</v>
      </c>
      <c r="M219">
        <v>3</v>
      </c>
      <c r="N219" t="s">
        <v>25</v>
      </c>
    </row>
    <row r="220" spans="1:14" x14ac:dyDescent="0.3">
      <c r="A220">
        <v>65</v>
      </c>
      <c r="B220" t="s">
        <v>14</v>
      </c>
      <c r="C220" t="s">
        <v>23</v>
      </c>
      <c r="D220">
        <v>135</v>
      </c>
      <c r="E220">
        <v>254</v>
      </c>
      <c r="F220" t="s">
        <v>20</v>
      </c>
      <c r="G220">
        <v>0</v>
      </c>
      <c r="H220">
        <v>127</v>
      </c>
      <c r="I220" t="s">
        <v>17</v>
      </c>
      <c r="J220">
        <v>2.8</v>
      </c>
      <c r="K220">
        <v>1</v>
      </c>
      <c r="L220">
        <v>1</v>
      </c>
      <c r="M220">
        <v>3</v>
      </c>
      <c r="N220" t="s">
        <v>25</v>
      </c>
    </row>
    <row r="221" spans="1:14" x14ac:dyDescent="0.3">
      <c r="A221">
        <v>48</v>
      </c>
      <c r="B221" t="s">
        <v>14</v>
      </c>
      <c r="C221" t="s">
        <v>23</v>
      </c>
      <c r="D221">
        <v>130</v>
      </c>
      <c r="E221">
        <v>256</v>
      </c>
      <c r="F221" t="s">
        <v>16</v>
      </c>
      <c r="G221">
        <v>0</v>
      </c>
      <c r="H221">
        <v>150</v>
      </c>
      <c r="I221" t="s">
        <v>24</v>
      </c>
      <c r="J221">
        <v>0</v>
      </c>
      <c r="K221">
        <v>2</v>
      </c>
      <c r="L221">
        <v>2</v>
      </c>
      <c r="M221">
        <v>3</v>
      </c>
      <c r="N221" t="s">
        <v>25</v>
      </c>
    </row>
    <row r="222" spans="1:14" x14ac:dyDescent="0.3">
      <c r="A222">
        <v>63</v>
      </c>
      <c r="B222" t="s">
        <v>21</v>
      </c>
      <c r="C222" t="s">
        <v>23</v>
      </c>
      <c r="D222">
        <v>150</v>
      </c>
      <c r="E222">
        <v>407</v>
      </c>
      <c r="F222" t="s">
        <v>20</v>
      </c>
      <c r="G222">
        <v>0</v>
      </c>
      <c r="H222">
        <v>154</v>
      </c>
      <c r="I222" t="s">
        <v>17</v>
      </c>
      <c r="J222">
        <v>4</v>
      </c>
      <c r="K222">
        <v>1</v>
      </c>
      <c r="L222">
        <v>3</v>
      </c>
      <c r="M222">
        <v>3</v>
      </c>
      <c r="N222" t="s">
        <v>25</v>
      </c>
    </row>
    <row r="223" spans="1:14" x14ac:dyDescent="0.3">
      <c r="A223">
        <v>55</v>
      </c>
      <c r="B223" t="s">
        <v>14</v>
      </c>
      <c r="C223" t="s">
        <v>23</v>
      </c>
      <c r="D223">
        <v>140</v>
      </c>
      <c r="E223">
        <v>217</v>
      </c>
      <c r="F223" t="s">
        <v>20</v>
      </c>
      <c r="G223">
        <v>1</v>
      </c>
      <c r="H223">
        <v>111</v>
      </c>
      <c r="I223" t="s">
        <v>24</v>
      </c>
      <c r="J223">
        <v>5.6</v>
      </c>
      <c r="K223">
        <v>0</v>
      </c>
      <c r="L223">
        <v>0</v>
      </c>
      <c r="M223">
        <v>3</v>
      </c>
      <c r="N223" t="s">
        <v>25</v>
      </c>
    </row>
    <row r="224" spans="1:14" x14ac:dyDescent="0.3">
      <c r="A224">
        <v>65</v>
      </c>
      <c r="B224" t="s">
        <v>14</v>
      </c>
      <c r="C224" t="s">
        <v>15</v>
      </c>
      <c r="D224">
        <v>138</v>
      </c>
      <c r="E224">
        <v>282</v>
      </c>
      <c r="F224" t="s">
        <v>16</v>
      </c>
      <c r="G224">
        <v>0</v>
      </c>
      <c r="H224">
        <v>174</v>
      </c>
      <c r="I224" t="s">
        <v>17</v>
      </c>
      <c r="J224">
        <v>1.4</v>
      </c>
      <c r="K224">
        <v>1</v>
      </c>
      <c r="L224">
        <v>1</v>
      </c>
      <c r="M224">
        <v>2</v>
      </c>
      <c r="N224" t="s">
        <v>25</v>
      </c>
    </row>
    <row r="225" spans="1:14" x14ac:dyDescent="0.3">
      <c r="A225">
        <v>56</v>
      </c>
      <c r="B225" t="s">
        <v>21</v>
      </c>
      <c r="C225" t="s">
        <v>23</v>
      </c>
      <c r="D225">
        <v>200</v>
      </c>
      <c r="E225">
        <v>288</v>
      </c>
      <c r="F225" t="s">
        <v>16</v>
      </c>
      <c r="G225">
        <v>0</v>
      </c>
      <c r="H225">
        <v>133</v>
      </c>
      <c r="I225" t="s">
        <v>24</v>
      </c>
      <c r="J225">
        <v>4</v>
      </c>
      <c r="K225">
        <v>0</v>
      </c>
      <c r="L225">
        <v>2</v>
      </c>
      <c r="M225">
        <v>3</v>
      </c>
      <c r="N225" t="s">
        <v>25</v>
      </c>
    </row>
    <row r="226" spans="1:14" x14ac:dyDescent="0.3">
      <c r="A226">
        <v>54</v>
      </c>
      <c r="B226" t="s">
        <v>14</v>
      </c>
      <c r="C226" t="s">
        <v>23</v>
      </c>
      <c r="D226">
        <v>110</v>
      </c>
      <c r="E226">
        <v>239</v>
      </c>
      <c r="F226" t="s">
        <v>20</v>
      </c>
      <c r="G226">
        <v>1</v>
      </c>
      <c r="H226">
        <v>126</v>
      </c>
      <c r="I226" t="s">
        <v>24</v>
      </c>
      <c r="J226">
        <v>2.8</v>
      </c>
      <c r="K226">
        <v>1</v>
      </c>
      <c r="L226">
        <v>1</v>
      </c>
      <c r="M226">
        <v>3</v>
      </c>
      <c r="N226" t="s">
        <v>25</v>
      </c>
    </row>
    <row r="227" spans="1:14" x14ac:dyDescent="0.3">
      <c r="A227">
        <v>70</v>
      </c>
      <c r="B227" t="s">
        <v>14</v>
      </c>
      <c r="C227" t="s">
        <v>23</v>
      </c>
      <c r="D227">
        <v>145</v>
      </c>
      <c r="E227">
        <v>174</v>
      </c>
      <c r="F227" t="s">
        <v>20</v>
      </c>
      <c r="G227">
        <v>1</v>
      </c>
      <c r="H227">
        <v>125</v>
      </c>
      <c r="I227" t="s">
        <v>24</v>
      </c>
      <c r="J227">
        <v>2.6</v>
      </c>
      <c r="K227">
        <v>0</v>
      </c>
      <c r="L227">
        <v>0</v>
      </c>
      <c r="M227">
        <v>3</v>
      </c>
      <c r="N227" t="s">
        <v>25</v>
      </c>
    </row>
    <row r="228" spans="1:14" x14ac:dyDescent="0.3">
      <c r="A228">
        <v>62</v>
      </c>
      <c r="B228" t="s">
        <v>14</v>
      </c>
      <c r="C228" t="s">
        <v>22</v>
      </c>
      <c r="D228">
        <v>120</v>
      </c>
      <c r="E228">
        <v>281</v>
      </c>
      <c r="F228" t="s">
        <v>20</v>
      </c>
      <c r="G228">
        <v>0</v>
      </c>
      <c r="H228">
        <v>103</v>
      </c>
      <c r="I228" t="s">
        <v>17</v>
      </c>
      <c r="J228">
        <v>1.4</v>
      </c>
      <c r="K228">
        <v>1</v>
      </c>
      <c r="L228">
        <v>1</v>
      </c>
      <c r="M228">
        <v>3</v>
      </c>
      <c r="N228" t="s">
        <v>25</v>
      </c>
    </row>
    <row r="229" spans="1:14" x14ac:dyDescent="0.3">
      <c r="A229">
        <v>35</v>
      </c>
      <c r="B229" t="s">
        <v>14</v>
      </c>
      <c r="C229" t="s">
        <v>23</v>
      </c>
      <c r="D229">
        <v>120</v>
      </c>
      <c r="E229">
        <v>198</v>
      </c>
      <c r="F229" t="s">
        <v>20</v>
      </c>
      <c r="G229">
        <v>1</v>
      </c>
      <c r="H229">
        <v>130</v>
      </c>
      <c r="I229" t="s">
        <v>24</v>
      </c>
      <c r="J229">
        <v>1.6</v>
      </c>
      <c r="K229">
        <v>1</v>
      </c>
      <c r="L229">
        <v>0</v>
      </c>
      <c r="M229">
        <v>3</v>
      </c>
      <c r="N229" t="s">
        <v>25</v>
      </c>
    </row>
    <row r="230" spans="1:14" x14ac:dyDescent="0.3">
      <c r="A230">
        <v>59</v>
      </c>
      <c r="B230" t="s">
        <v>14</v>
      </c>
      <c r="C230" t="s">
        <v>15</v>
      </c>
      <c r="D230">
        <v>170</v>
      </c>
      <c r="E230">
        <v>288</v>
      </c>
      <c r="F230" t="s">
        <v>20</v>
      </c>
      <c r="G230">
        <v>0</v>
      </c>
      <c r="H230">
        <v>159</v>
      </c>
      <c r="I230" t="s">
        <v>17</v>
      </c>
      <c r="J230">
        <v>0.2</v>
      </c>
      <c r="K230">
        <v>1</v>
      </c>
      <c r="L230">
        <v>0</v>
      </c>
      <c r="M230">
        <v>3</v>
      </c>
      <c r="N230" t="s">
        <v>25</v>
      </c>
    </row>
    <row r="231" spans="1:14" x14ac:dyDescent="0.3">
      <c r="A231">
        <v>64</v>
      </c>
      <c r="B231" t="s">
        <v>14</v>
      </c>
      <c r="C231" t="s">
        <v>19</v>
      </c>
      <c r="D231">
        <v>125</v>
      </c>
      <c r="E231">
        <v>309</v>
      </c>
      <c r="F231" t="s">
        <v>20</v>
      </c>
      <c r="G231">
        <v>1</v>
      </c>
      <c r="H231">
        <v>131</v>
      </c>
      <c r="I231" t="s">
        <v>24</v>
      </c>
      <c r="J231">
        <v>1.8</v>
      </c>
      <c r="K231">
        <v>1</v>
      </c>
      <c r="L231">
        <v>0</v>
      </c>
      <c r="M231">
        <v>3</v>
      </c>
      <c r="N231" t="s">
        <v>25</v>
      </c>
    </row>
    <row r="232" spans="1:14" x14ac:dyDescent="0.3">
      <c r="A232">
        <v>47</v>
      </c>
      <c r="B232" t="s">
        <v>14</v>
      </c>
      <c r="C232" t="s">
        <v>19</v>
      </c>
      <c r="D232">
        <v>108</v>
      </c>
      <c r="E232">
        <v>243</v>
      </c>
      <c r="F232" t="s">
        <v>20</v>
      </c>
      <c r="G232">
        <v>1</v>
      </c>
      <c r="H232">
        <v>152</v>
      </c>
      <c r="I232" t="s">
        <v>17</v>
      </c>
      <c r="J232">
        <v>0</v>
      </c>
      <c r="K232">
        <v>2</v>
      </c>
      <c r="L232">
        <v>0</v>
      </c>
      <c r="M232">
        <v>2</v>
      </c>
      <c r="N232" t="s">
        <v>25</v>
      </c>
    </row>
    <row r="233" spans="1:14" x14ac:dyDescent="0.3">
      <c r="A233">
        <v>57</v>
      </c>
      <c r="B233" t="s">
        <v>14</v>
      </c>
      <c r="C233" t="s">
        <v>23</v>
      </c>
      <c r="D233">
        <v>165</v>
      </c>
      <c r="E233">
        <v>289</v>
      </c>
      <c r="F233" t="s">
        <v>16</v>
      </c>
      <c r="G233">
        <v>0</v>
      </c>
      <c r="H233">
        <v>124</v>
      </c>
      <c r="I233" t="s">
        <v>17</v>
      </c>
      <c r="J233">
        <v>1</v>
      </c>
      <c r="K233">
        <v>1</v>
      </c>
      <c r="L233">
        <v>3</v>
      </c>
      <c r="M233">
        <v>3</v>
      </c>
      <c r="N233" t="s">
        <v>25</v>
      </c>
    </row>
    <row r="234" spans="1:14" x14ac:dyDescent="0.3">
      <c r="A234">
        <v>55</v>
      </c>
      <c r="B234" t="s">
        <v>14</v>
      </c>
      <c r="C234" t="s">
        <v>23</v>
      </c>
      <c r="D234">
        <v>160</v>
      </c>
      <c r="E234">
        <v>289</v>
      </c>
      <c r="F234" t="s">
        <v>20</v>
      </c>
      <c r="G234">
        <v>0</v>
      </c>
      <c r="H234">
        <v>145</v>
      </c>
      <c r="I234" t="s">
        <v>24</v>
      </c>
      <c r="J234">
        <v>0.8</v>
      </c>
      <c r="K234">
        <v>1</v>
      </c>
      <c r="L234">
        <v>1</v>
      </c>
      <c r="M234">
        <v>3</v>
      </c>
      <c r="N234" t="s">
        <v>25</v>
      </c>
    </row>
    <row r="235" spans="1:14" x14ac:dyDescent="0.3">
      <c r="A235">
        <v>64</v>
      </c>
      <c r="B235" t="s">
        <v>14</v>
      </c>
      <c r="C235" t="s">
        <v>23</v>
      </c>
      <c r="D235">
        <v>120</v>
      </c>
      <c r="E235">
        <v>246</v>
      </c>
      <c r="F235" t="s">
        <v>20</v>
      </c>
      <c r="G235">
        <v>0</v>
      </c>
      <c r="H235">
        <v>96</v>
      </c>
      <c r="I235" t="s">
        <v>24</v>
      </c>
      <c r="J235">
        <v>2.2000000000000002</v>
      </c>
      <c r="K235">
        <v>0</v>
      </c>
      <c r="L235">
        <v>1</v>
      </c>
      <c r="M235">
        <v>2</v>
      </c>
      <c r="N235" t="s">
        <v>25</v>
      </c>
    </row>
    <row r="236" spans="1:14" x14ac:dyDescent="0.3">
      <c r="A236">
        <v>70</v>
      </c>
      <c r="B236" t="s">
        <v>14</v>
      </c>
      <c r="C236" t="s">
        <v>23</v>
      </c>
      <c r="D236">
        <v>130</v>
      </c>
      <c r="E236">
        <v>322</v>
      </c>
      <c r="F236" t="s">
        <v>20</v>
      </c>
      <c r="G236">
        <v>0</v>
      </c>
      <c r="H236">
        <v>109</v>
      </c>
      <c r="I236" t="s">
        <v>17</v>
      </c>
      <c r="J236">
        <v>2.4</v>
      </c>
      <c r="K236">
        <v>1</v>
      </c>
      <c r="L236">
        <v>3</v>
      </c>
      <c r="M236">
        <v>2</v>
      </c>
      <c r="N236" t="s">
        <v>25</v>
      </c>
    </row>
    <row r="237" spans="1:14" x14ac:dyDescent="0.3">
      <c r="A237">
        <v>51</v>
      </c>
      <c r="B237" t="s">
        <v>14</v>
      </c>
      <c r="C237" t="s">
        <v>23</v>
      </c>
      <c r="D237">
        <v>140</v>
      </c>
      <c r="E237">
        <v>299</v>
      </c>
      <c r="F237" t="s">
        <v>20</v>
      </c>
      <c r="G237">
        <v>1</v>
      </c>
      <c r="H237">
        <v>173</v>
      </c>
      <c r="I237" t="s">
        <v>24</v>
      </c>
      <c r="J237">
        <v>1.6</v>
      </c>
      <c r="K237">
        <v>2</v>
      </c>
      <c r="L237">
        <v>0</v>
      </c>
      <c r="M237">
        <v>3</v>
      </c>
      <c r="N237" t="s">
        <v>25</v>
      </c>
    </row>
    <row r="238" spans="1:14" x14ac:dyDescent="0.3">
      <c r="A238">
        <v>58</v>
      </c>
      <c r="B238" t="s">
        <v>14</v>
      </c>
      <c r="C238" t="s">
        <v>23</v>
      </c>
      <c r="D238">
        <v>125</v>
      </c>
      <c r="E238">
        <v>300</v>
      </c>
      <c r="F238" t="s">
        <v>20</v>
      </c>
      <c r="G238">
        <v>0</v>
      </c>
      <c r="H238">
        <v>171</v>
      </c>
      <c r="I238" t="s">
        <v>17</v>
      </c>
      <c r="J238">
        <v>0</v>
      </c>
      <c r="K238">
        <v>2</v>
      </c>
      <c r="L238">
        <v>2</v>
      </c>
      <c r="M238">
        <v>3</v>
      </c>
      <c r="N238" t="s">
        <v>25</v>
      </c>
    </row>
    <row r="239" spans="1:14" x14ac:dyDescent="0.3">
      <c r="A239">
        <v>60</v>
      </c>
      <c r="B239" t="s">
        <v>14</v>
      </c>
      <c r="C239" t="s">
        <v>23</v>
      </c>
      <c r="D239">
        <v>140</v>
      </c>
      <c r="E239">
        <v>293</v>
      </c>
      <c r="F239" t="s">
        <v>20</v>
      </c>
      <c r="G239">
        <v>0</v>
      </c>
      <c r="H239">
        <v>170</v>
      </c>
      <c r="I239" t="s">
        <v>17</v>
      </c>
      <c r="J239">
        <v>1.2</v>
      </c>
      <c r="K239">
        <v>1</v>
      </c>
      <c r="L239">
        <v>2</v>
      </c>
      <c r="M239">
        <v>3</v>
      </c>
      <c r="N239" t="s">
        <v>25</v>
      </c>
    </row>
    <row r="240" spans="1:14" x14ac:dyDescent="0.3">
      <c r="A240">
        <v>77</v>
      </c>
      <c r="B240" t="s">
        <v>14</v>
      </c>
      <c r="C240" t="s">
        <v>23</v>
      </c>
      <c r="D240">
        <v>125</v>
      </c>
      <c r="E240">
        <v>304</v>
      </c>
      <c r="F240" t="s">
        <v>20</v>
      </c>
      <c r="G240">
        <v>0</v>
      </c>
      <c r="H240">
        <v>162</v>
      </c>
      <c r="I240" t="s">
        <v>24</v>
      </c>
      <c r="J240">
        <v>0</v>
      </c>
      <c r="K240">
        <v>2</v>
      </c>
      <c r="L240">
        <v>3</v>
      </c>
      <c r="M240">
        <v>2</v>
      </c>
      <c r="N240" t="s">
        <v>25</v>
      </c>
    </row>
    <row r="241" spans="1:14" x14ac:dyDescent="0.3">
      <c r="A241">
        <v>35</v>
      </c>
      <c r="B241" t="s">
        <v>14</v>
      </c>
      <c r="C241" t="s">
        <v>23</v>
      </c>
      <c r="D241">
        <v>126</v>
      </c>
      <c r="E241">
        <v>282</v>
      </c>
      <c r="F241" t="s">
        <v>20</v>
      </c>
      <c r="G241">
        <v>0</v>
      </c>
      <c r="H241">
        <v>156</v>
      </c>
      <c r="I241" t="s">
        <v>24</v>
      </c>
      <c r="J241">
        <v>0</v>
      </c>
      <c r="K241">
        <v>2</v>
      </c>
      <c r="L241">
        <v>0</v>
      </c>
      <c r="M241">
        <v>3</v>
      </c>
      <c r="N241" t="s">
        <v>25</v>
      </c>
    </row>
    <row r="242" spans="1:14" x14ac:dyDescent="0.3">
      <c r="A242">
        <v>70</v>
      </c>
      <c r="B242" t="s">
        <v>14</v>
      </c>
      <c r="C242" t="s">
        <v>19</v>
      </c>
      <c r="D242">
        <v>160</v>
      </c>
      <c r="E242">
        <v>269</v>
      </c>
      <c r="F242" t="s">
        <v>20</v>
      </c>
      <c r="G242">
        <v>1</v>
      </c>
      <c r="H242">
        <v>112</v>
      </c>
      <c r="I242" t="s">
        <v>24</v>
      </c>
      <c r="J242">
        <v>2.9</v>
      </c>
      <c r="K242">
        <v>1</v>
      </c>
      <c r="L242">
        <v>1</v>
      </c>
      <c r="M242">
        <v>3</v>
      </c>
      <c r="N242" t="s">
        <v>25</v>
      </c>
    </row>
    <row r="243" spans="1:14" x14ac:dyDescent="0.3">
      <c r="A243">
        <v>59</v>
      </c>
      <c r="B243" t="s">
        <v>21</v>
      </c>
      <c r="C243" t="s">
        <v>23</v>
      </c>
      <c r="D243">
        <v>174</v>
      </c>
      <c r="E243">
        <v>249</v>
      </c>
      <c r="F243" t="s">
        <v>20</v>
      </c>
      <c r="G243">
        <v>1</v>
      </c>
      <c r="H243">
        <v>143</v>
      </c>
      <c r="I243" t="s">
        <v>24</v>
      </c>
      <c r="J243">
        <v>0</v>
      </c>
      <c r="K243">
        <v>1</v>
      </c>
      <c r="L243">
        <v>0</v>
      </c>
      <c r="M243">
        <v>2</v>
      </c>
      <c r="N243" t="s">
        <v>25</v>
      </c>
    </row>
    <row r="244" spans="1:14" x14ac:dyDescent="0.3">
      <c r="A244">
        <v>64</v>
      </c>
      <c r="B244" t="s">
        <v>14</v>
      </c>
      <c r="C244" t="s">
        <v>23</v>
      </c>
      <c r="D244">
        <v>145</v>
      </c>
      <c r="E244">
        <v>212</v>
      </c>
      <c r="F244" t="s">
        <v>20</v>
      </c>
      <c r="G244">
        <v>0</v>
      </c>
      <c r="H244">
        <v>132</v>
      </c>
      <c r="I244" t="s">
        <v>17</v>
      </c>
      <c r="J244">
        <v>2</v>
      </c>
      <c r="K244">
        <v>1</v>
      </c>
      <c r="L244">
        <v>2</v>
      </c>
      <c r="M244">
        <v>1</v>
      </c>
      <c r="N244" t="s">
        <v>25</v>
      </c>
    </row>
    <row r="245" spans="1:14" x14ac:dyDescent="0.3">
      <c r="A245">
        <v>57</v>
      </c>
      <c r="B245" t="s">
        <v>14</v>
      </c>
      <c r="C245" t="s">
        <v>23</v>
      </c>
      <c r="D245">
        <v>152</v>
      </c>
      <c r="E245">
        <v>274</v>
      </c>
      <c r="F245" t="s">
        <v>20</v>
      </c>
      <c r="G245">
        <v>1</v>
      </c>
      <c r="H245">
        <v>88</v>
      </c>
      <c r="I245" t="s">
        <v>24</v>
      </c>
      <c r="J245">
        <v>1.2</v>
      </c>
      <c r="K245">
        <v>1</v>
      </c>
      <c r="L245">
        <v>1</v>
      </c>
      <c r="M245">
        <v>3</v>
      </c>
      <c r="N245" t="s">
        <v>25</v>
      </c>
    </row>
    <row r="246" spans="1:14" x14ac:dyDescent="0.3">
      <c r="A246">
        <v>56</v>
      </c>
      <c r="B246" t="s">
        <v>14</v>
      </c>
      <c r="C246" t="s">
        <v>23</v>
      </c>
      <c r="D246">
        <v>132</v>
      </c>
      <c r="E246">
        <v>184</v>
      </c>
      <c r="F246" t="s">
        <v>20</v>
      </c>
      <c r="G246">
        <v>0</v>
      </c>
      <c r="H246">
        <v>105</v>
      </c>
      <c r="I246" t="s">
        <v>24</v>
      </c>
      <c r="J246">
        <v>2.1</v>
      </c>
      <c r="K246">
        <v>1</v>
      </c>
      <c r="L246">
        <v>1</v>
      </c>
      <c r="M246">
        <v>1</v>
      </c>
      <c r="N246" t="s">
        <v>25</v>
      </c>
    </row>
    <row r="247" spans="1:14" x14ac:dyDescent="0.3">
      <c r="A247">
        <v>48</v>
      </c>
      <c r="B247" t="s">
        <v>14</v>
      </c>
      <c r="C247" t="s">
        <v>23</v>
      </c>
      <c r="D247">
        <v>124</v>
      </c>
      <c r="E247">
        <v>274</v>
      </c>
      <c r="F247" t="s">
        <v>20</v>
      </c>
      <c r="G247">
        <v>0</v>
      </c>
      <c r="H247">
        <v>166</v>
      </c>
      <c r="I247" t="s">
        <v>17</v>
      </c>
      <c r="J247">
        <v>0.5</v>
      </c>
      <c r="K247">
        <v>1</v>
      </c>
      <c r="L247">
        <v>0</v>
      </c>
      <c r="M247">
        <v>3</v>
      </c>
      <c r="N247" t="s">
        <v>25</v>
      </c>
    </row>
    <row r="248" spans="1:14" x14ac:dyDescent="0.3">
      <c r="A248">
        <v>56</v>
      </c>
      <c r="B248" t="s">
        <v>21</v>
      </c>
      <c r="C248" t="s">
        <v>23</v>
      </c>
      <c r="D248">
        <v>134</v>
      </c>
      <c r="E248">
        <v>409</v>
      </c>
      <c r="F248" t="s">
        <v>20</v>
      </c>
      <c r="G248">
        <v>0</v>
      </c>
      <c r="H248">
        <v>150</v>
      </c>
      <c r="I248" t="s">
        <v>24</v>
      </c>
      <c r="J248">
        <v>1.9</v>
      </c>
      <c r="K248">
        <v>1</v>
      </c>
      <c r="L248">
        <v>2</v>
      </c>
      <c r="M248">
        <v>3</v>
      </c>
      <c r="N248" t="s">
        <v>25</v>
      </c>
    </row>
    <row r="249" spans="1:14" x14ac:dyDescent="0.3">
      <c r="A249">
        <v>66</v>
      </c>
      <c r="B249" t="s">
        <v>14</v>
      </c>
      <c r="C249" t="s">
        <v>22</v>
      </c>
      <c r="D249">
        <v>160</v>
      </c>
      <c r="E249">
        <v>246</v>
      </c>
      <c r="F249" t="s">
        <v>20</v>
      </c>
      <c r="G249">
        <v>1</v>
      </c>
      <c r="H249">
        <v>120</v>
      </c>
      <c r="I249" t="s">
        <v>24</v>
      </c>
      <c r="J249">
        <v>0</v>
      </c>
      <c r="K249">
        <v>1</v>
      </c>
      <c r="L249">
        <v>3</v>
      </c>
      <c r="M249">
        <v>1</v>
      </c>
      <c r="N249" t="s">
        <v>25</v>
      </c>
    </row>
    <row r="250" spans="1:14" x14ac:dyDescent="0.3">
      <c r="A250">
        <v>54</v>
      </c>
      <c r="B250" t="s">
        <v>14</v>
      </c>
      <c r="C250" t="s">
        <v>22</v>
      </c>
      <c r="D250">
        <v>192</v>
      </c>
      <c r="E250">
        <v>283</v>
      </c>
      <c r="F250" t="s">
        <v>20</v>
      </c>
      <c r="G250">
        <v>0</v>
      </c>
      <c r="H250">
        <v>195</v>
      </c>
      <c r="I250" t="s">
        <v>17</v>
      </c>
      <c r="J250">
        <v>0</v>
      </c>
      <c r="K250">
        <v>2</v>
      </c>
      <c r="L250">
        <v>1</v>
      </c>
      <c r="M250">
        <v>3</v>
      </c>
      <c r="N250" t="s">
        <v>25</v>
      </c>
    </row>
    <row r="251" spans="1:14" x14ac:dyDescent="0.3">
      <c r="A251">
        <v>69</v>
      </c>
      <c r="B251" t="s">
        <v>14</v>
      </c>
      <c r="C251" t="s">
        <v>19</v>
      </c>
      <c r="D251">
        <v>140</v>
      </c>
      <c r="E251">
        <v>254</v>
      </c>
      <c r="F251" t="s">
        <v>20</v>
      </c>
      <c r="G251">
        <v>0</v>
      </c>
      <c r="H251">
        <v>146</v>
      </c>
      <c r="I251" t="s">
        <v>17</v>
      </c>
      <c r="J251">
        <v>2</v>
      </c>
      <c r="K251">
        <v>1</v>
      </c>
      <c r="L251">
        <v>3</v>
      </c>
      <c r="M251">
        <v>3</v>
      </c>
      <c r="N251" t="s">
        <v>25</v>
      </c>
    </row>
    <row r="252" spans="1:14" x14ac:dyDescent="0.3">
      <c r="A252">
        <v>51</v>
      </c>
      <c r="B252" t="s">
        <v>14</v>
      </c>
      <c r="C252" t="s">
        <v>23</v>
      </c>
      <c r="D252">
        <v>140</v>
      </c>
      <c r="E252">
        <v>298</v>
      </c>
      <c r="F252" t="s">
        <v>20</v>
      </c>
      <c r="G252">
        <v>1</v>
      </c>
      <c r="H252">
        <v>122</v>
      </c>
      <c r="I252" t="s">
        <v>24</v>
      </c>
      <c r="J252">
        <v>4.2</v>
      </c>
      <c r="K252">
        <v>1</v>
      </c>
      <c r="L252">
        <v>3</v>
      </c>
      <c r="M252">
        <v>3</v>
      </c>
      <c r="N252" t="s">
        <v>25</v>
      </c>
    </row>
    <row r="253" spans="1:14" x14ac:dyDescent="0.3">
      <c r="A253">
        <v>43</v>
      </c>
      <c r="B253" t="s">
        <v>14</v>
      </c>
      <c r="C253" t="s">
        <v>23</v>
      </c>
      <c r="D253">
        <v>132</v>
      </c>
      <c r="E253">
        <v>247</v>
      </c>
      <c r="F253" t="s">
        <v>16</v>
      </c>
      <c r="G253">
        <v>0</v>
      </c>
      <c r="H253">
        <v>143</v>
      </c>
      <c r="I253" t="s">
        <v>24</v>
      </c>
      <c r="J253">
        <v>0.1</v>
      </c>
      <c r="K253">
        <v>1</v>
      </c>
      <c r="L253">
        <v>4</v>
      </c>
      <c r="M253">
        <v>3</v>
      </c>
      <c r="N253" t="s">
        <v>25</v>
      </c>
    </row>
    <row r="254" spans="1:14" x14ac:dyDescent="0.3">
      <c r="A254">
        <v>62</v>
      </c>
      <c r="B254" t="s">
        <v>21</v>
      </c>
      <c r="C254" t="s">
        <v>23</v>
      </c>
      <c r="D254">
        <v>138</v>
      </c>
      <c r="E254">
        <v>294</v>
      </c>
      <c r="F254" t="s">
        <v>16</v>
      </c>
      <c r="G254">
        <v>1</v>
      </c>
      <c r="H254">
        <v>106</v>
      </c>
      <c r="I254" t="s">
        <v>17</v>
      </c>
      <c r="J254">
        <v>1.9</v>
      </c>
      <c r="K254">
        <v>1</v>
      </c>
      <c r="L254">
        <v>3</v>
      </c>
      <c r="M254">
        <v>2</v>
      </c>
      <c r="N254" t="s">
        <v>25</v>
      </c>
    </row>
    <row r="255" spans="1:14" x14ac:dyDescent="0.3">
      <c r="A255">
        <v>67</v>
      </c>
      <c r="B255" t="s">
        <v>14</v>
      </c>
      <c r="C255" t="s">
        <v>23</v>
      </c>
      <c r="D255">
        <v>100</v>
      </c>
      <c r="E255">
        <v>299</v>
      </c>
      <c r="F255" t="s">
        <v>20</v>
      </c>
      <c r="G255">
        <v>0</v>
      </c>
      <c r="H255">
        <v>125</v>
      </c>
      <c r="I255" t="s">
        <v>24</v>
      </c>
      <c r="J255">
        <v>0.9</v>
      </c>
      <c r="K255">
        <v>1</v>
      </c>
      <c r="L255">
        <v>2</v>
      </c>
      <c r="M255">
        <v>2</v>
      </c>
      <c r="N255" t="s">
        <v>25</v>
      </c>
    </row>
    <row r="256" spans="1:14" x14ac:dyDescent="0.3">
      <c r="A256">
        <v>59</v>
      </c>
      <c r="B256" t="s">
        <v>14</v>
      </c>
      <c r="C256" t="s">
        <v>15</v>
      </c>
      <c r="D256">
        <v>160</v>
      </c>
      <c r="E256">
        <v>273</v>
      </c>
      <c r="F256" t="s">
        <v>20</v>
      </c>
      <c r="G256">
        <v>0</v>
      </c>
      <c r="H256">
        <v>125</v>
      </c>
      <c r="I256" t="s">
        <v>17</v>
      </c>
      <c r="J256">
        <v>0</v>
      </c>
      <c r="K256">
        <v>2</v>
      </c>
      <c r="L256">
        <v>0</v>
      </c>
      <c r="M256">
        <v>2</v>
      </c>
      <c r="N256" t="s">
        <v>25</v>
      </c>
    </row>
    <row r="257" spans="1:14" x14ac:dyDescent="0.3">
      <c r="A257">
        <v>45</v>
      </c>
      <c r="B257" t="s">
        <v>14</v>
      </c>
      <c r="C257" t="s">
        <v>23</v>
      </c>
      <c r="D257">
        <v>142</v>
      </c>
      <c r="E257">
        <v>309</v>
      </c>
      <c r="F257" t="s">
        <v>20</v>
      </c>
      <c r="G257">
        <v>0</v>
      </c>
      <c r="H257">
        <v>147</v>
      </c>
      <c r="I257" t="s">
        <v>24</v>
      </c>
      <c r="J257">
        <v>0</v>
      </c>
      <c r="K257">
        <v>1</v>
      </c>
      <c r="L257">
        <v>3</v>
      </c>
      <c r="M257">
        <v>3</v>
      </c>
      <c r="N257" t="s">
        <v>25</v>
      </c>
    </row>
    <row r="258" spans="1:14" x14ac:dyDescent="0.3">
      <c r="A258">
        <v>58</v>
      </c>
      <c r="B258" t="s">
        <v>14</v>
      </c>
      <c r="C258" t="s">
        <v>23</v>
      </c>
      <c r="D258">
        <v>128</v>
      </c>
      <c r="E258">
        <v>259</v>
      </c>
      <c r="F258" t="s">
        <v>20</v>
      </c>
      <c r="G258">
        <v>0</v>
      </c>
      <c r="H258">
        <v>130</v>
      </c>
      <c r="I258" t="s">
        <v>24</v>
      </c>
      <c r="J258">
        <v>3</v>
      </c>
      <c r="K258">
        <v>1</v>
      </c>
      <c r="L258">
        <v>2</v>
      </c>
      <c r="M258">
        <v>3</v>
      </c>
      <c r="N258" t="s">
        <v>25</v>
      </c>
    </row>
    <row r="259" spans="1:14" x14ac:dyDescent="0.3">
      <c r="A259">
        <v>50</v>
      </c>
      <c r="B259" t="s">
        <v>14</v>
      </c>
      <c r="C259" t="s">
        <v>23</v>
      </c>
      <c r="D259">
        <v>144</v>
      </c>
      <c r="E259">
        <v>200</v>
      </c>
      <c r="F259" t="s">
        <v>20</v>
      </c>
      <c r="G259">
        <v>0</v>
      </c>
      <c r="H259">
        <v>126</v>
      </c>
      <c r="I259" t="s">
        <v>24</v>
      </c>
      <c r="J259">
        <v>0.9</v>
      </c>
      <c r="K259">
        <v>1</v>
      </c>
      <c r="L259">
        <v>0</v>
      </c>
      <c r="M259">
        <v>3</v>
      </c>
      <c r="N259" t="s">
        <v>25</v>
      </c>
    </row>
    <row r="260" spans="1:14" x14ac:dyDescent="0.3">
      <c r="A260">
        <v>62</v>
      </c>
      <c r="B260" t="s">
        <v>21</v>
      </c>
      <c r="C260" t="s">
        <v>23</v>
      </c>
      <c r="D260">
        <v>150</v>
      </c>
      <c r="E260">
        <v>244</v>
      </c>
      <c r="F260" t="s">
        <v>20</v>
      </c>
      <c r="G260">
        <v>1</v>
      </c>
      <c r="H260">
        <v>154</v>
      </c>
      <c r="I260" t="s">
        <v>24</v>
      </c>
      <c r="J260">
        <v>1.4</v>
      </c>
      <c r="K260">
        <v>1</v>
      </c>
      <c r="L260">
        <v>0</v>
      </c>
      <c r="M260">
        <v>2</v>
      </c>
      <c r="N260" t="s">
        <v>25</v>
      </c>
    </row>
    <row r="261" spans="1:14" x14ac:dyDescent="0.3">
      <c r="A261">
        <v>38</v>
      </c>
      <c r="B261" t="s">
        <v>14</v>
      </c>
      <c r="C261" t="s">
        <v>15</v>
      </c>
      <c r="D261">
        <v>120</v>
      </c>
      <c r="E261">
        <v>231</v>
      </c>
      <c r="F261" t="s">
        <v>20</v>
      </c>
      <c r="G261">
        <v>1</v>
      </c>
      <c r="H261">
        <v>182</v>
      </c>
      <c r="I261" t="s">
        <v>24</v>
      </c>
      <c r="J261">
        <v>3.8</v>
      </c>
      <c r="K261">
        <v>1</v>
      </c>
      <c r="L261">
        <v>0</v>
      </c>
      <c r="M261">
        <v>3</v>
      </c>
      <c r="N261" t="s">
        <v>25</v>
      </c>
    </row>
    <row r="262" spans="1:14" x14ac:dyDescent="0.3">
      <c r="A262">
        <v>66</v>
      </c>
      <c r="B262" t="s">
        <v>21</v>
      </c>
      <c r="C262" t="s">
        <v>23</v>
      </c>
      <c r="D262">
        <v>178</v>
      </c>
      <c r="E262">
        <v>228</v>
      </c>
      <c r="F262" t="s">
        <v>16</v>
      </c>
      <c r="G262">
        <v>1</v>
      </c>
      <c r="H262">
        <v>165</v>
      </c>
      <c r="I262" t="s">
        <v>24</v>
      </c>
      <c r="J262">
        <v>1</v>
      </c>
      <c r="K262">
        <v>1</v>
      </c>
      <c r="L262">
        <v>2</v>
      </c>
      <c r="M262">
        <v>3</v>
      </c>
      <c r="N262" t="s">
        <v>25</v>
      </c>
    </row>
    <row r="263" spans="1:14" x14ac:dyDescent="0.3">
      <c r="A263">
        <v>52</v>
      </c>
      <c r="B263" t="s">
        <v>14</v>
      </c>
      <c r="C263" t="s">
        <v>23</v>
      </c>
      <c r="D263">
        <v>112</v>
      </c>
      <c r="E263">
        <v>230</v>
      </c>
      <c r="F263" t="s">
        <v>20</v>
      </c>
      <c r="G263">
        <v>1</v>
      </c>
      <c r="H263">
        <v>160</v>
      </c>
      <c r="I263" t="s">
        <v>17</v>
      </c>
      <c r="J263">
        <v>0</v>
      </c>
      <c r="K263">
        <v>2</v>
      </c>
      <c r="L263">
        <v>1</v>
      </c>
      <c r="M263">
        <v>2</v>
      </c>
      <c r="N263" t="s">
        <v>25</v>
      </c>
    </row>
    <row r="264" spans="1:14" x14ac:dyDescent="0.3">
      <c r="A264">
        <v>53</v>
      </c>
      <c r="B264" t="s">
        <v>14</v>
      </c>
      <c r="C264" t="s">
        <v>23</v>
      </c>
      <c r="D264">
        <v>123</v>
      </c>
      <c r="E264">
        <v>282</v>
      </c>
      <c r="F264" t="s">
        <v>20</v>
      </c>
      <c r="G264">
        <v>1</v>
      </c>
      <c r="H264">
        <v>95</v>
      </c>
      <c r="I264" t="s">
        <v>24</v>
      </c>
      <c r="J264">
        <v>2</v>
      </c>
      <c r="K264">
        <v>1</v>
      </c>
      <c r="L264">
        <v>2</v>
      </c>
      <c r="M264">
        <v>3</v>
      </c>
      <c r="N264" t="s">
        <v>25</v>
      </c>
    </row>
    <row r="265" spans="1:14" x14ac:dyDescent="0.3">
      <c r="A265">
        <v>63</v>
      </c>
      <c r="B265" t="s">
        <v>21</v>
      </c>
      <c r="C265" t="s">
        <v>23</v>
      </c>
      <c r="D265">
        <v>108</v>
      </c>
      <c r="E265">
        <v>269</v>
      </c>
      <c r="F265" t="s">
        <v>20</v>
      </c>
      <c r="G265">
        <v>1</v>
      </c>
      <c r="H265">
        <v>169</v>
      </c>
      <c r="I265" t="s">
        <v>24</v>
      </c>
      <c r="J265">
        <v>1.8</v>
      </c>
      <c r="K265">
        <v>1</v>
      </c>
      <c r="L265">
        <v>2</v>
      </c>
      <c r="M265">
        <v>2</v>
      </c>
      <c r="N265" t="s">
        <v>25</v>
      </c>
    </row>
    <row r="266" spans="1:14" x14ac:dyDescent="0.3">
      <c r="A266">
        <v>54</v>
      </c>
      <c r="B266" t="s">
        <v>14</v>
      </c>
      <c r="C266" t="s">
        <v>23</v>
      </c>
      <c r="D266">
        <v>110</v>
      </c>
      <c r="E266">
        <v>206</v>
      </c>
      <c r="F266" t="s">
        <v>20</v>
      </c>
      <c r="G266">
        <v>0</v>
      </c>
      <c r="H266">
        <v>108</v>
      </c>
      <c r="I266" t="s">
        <v>24</v>
      </c>
      <c r="J266">
        <v>0</v>
      </c>
      <c r="K266">
        <v>1</v>
      </c>
      <c r="L266">
        <v>1</v>
      </c>
      <c r="M266">
        <v>2</v>
      </c>
      <c r="N266" t="s">
        <v>25</v>
      </c>
    </row>
    <row r="267" spans="1:14" x14ac:dyDescent="0.3">
      <c r="A267">
        <v>66</v>
      </c>
      <c r="B267" t="s">
        <v>14</v>
      </c>
      <c r="C267" t="s">
        <v>23</v>
      </c>
      <c r="D267">
        <v>112</v>
      </c>
      <c r="E267">
        <v>212</v>
      </c>
      <c r="F267" t="s">
        <v>20</v>
      </c>
      <c r="G267">
        <v>0</v>
      </c>
      <c r="H267">
        <v>132</v>
      </c>
      <c r="I267" t="s">
        <v>24</v>
      </c>
      <c r="J267">
        <v>0.1</v>
      </c>
      <c r="K267">
        <v>2</v>
      </c>
      <c r="L267">
        <v>1</v>
      </c>
      <c r="M267">
        <v>2</v>
      </c>
      <c r="N267" t="s">
        <v>25</v>
      </c>
    </row>
    <row r="268" spans="1:14" x14ac:dyDescent="0.3">
      <c r="A268">
        <v>55</v>
      </c>
      <c r="B268" t="s">
        <v>21</v>
      </c>
      <c r="C268" t="s">
        <v>23</v>
      </c>
      <c r="D268">
        <v>180</v>
      </c>
      <c r="E268">
        <v>327</v>
      </c>
      <c r="F268" t="s">
        <v>20</v>
      </c>
      <c r="G268">
        <v>2</v>
      </c>
      <c r="H268">
        <v>117</v>
      </c>
      <c r="I268" t="s">
        <v>24</v>
      </c>
      <c r="J268">
        <v>3.4</v>
      </c>
      <c r="K268">
        <v>1</v>
      </c>
      <c r="L268">
        <v>0</v>
      </c>
      <c r="M268">
        <v>2</v>
      </c>
      <c r="N268" t="s">
        <v>25</v>
      </c>
    </row>
    <row r="269" spans="1:14" x14ac:dyDescent="0.3">
      <c r="A269">
        <v>49</v>
      </c>
      <c r="B269" t="s">
        <v>14</v>
      </c>
      <c r="C269" t="s">
        <v>19</v>
      </c>
      <c r="D269">
        <v>118</v>
      </c>
      <c r="E269">
        <v>149</v>
      </c>
      <c r="F269" t="s">
        <v>20</v>
      </c>
      <c r="G269">
        <v>0</v>
      </c>
      <c r="H269">
        <v>126</v>
      </c>
      <c r="I269" t="s">
        <v>17</v>
      </c>
      <c r="J269">
        <v>0.8</v>
      </c>
      <c r="K269">
        <v>2</v>
      </c>
      <c r="L269">
        <v>3</v>
      </c>
      <c r="M269">
        <v>2</v>
      </c>
      <c r="N269" t="s">
        <v>25</v>
      </c>
    </row>
    <row r="270" spans="1:14" x14ac:dyDescent="0.3">
      <c r="A270">
        <v>54</v>
      </c>
      <c r="B270" t="s">
        <v>14</v>
      </c>
      <c r="C270" t="s">
        <v>23</v>
      </c>
      <c r="D270">
        <v>122</v>
      </c>
      <c r="E270">
        <v>286</v>
      </c>
      <c r="F270" t="s">
        <v>20</v>
      </c>
      <c r="G270">
        <v>0</v>
      </c>
      <c r="H270">
        <v>116</v>
      </c>
      <c r="I270" t="s">
        <v>24</v>
      </c>
      <c r="J270">
        <v>3.2</v>
      </c>
      <c r="K270">
        <v>1</v>
      </c>
      <c r="L270">
        <v>2</v>
      </c>
      <c r="M270">
        <v>2</v>
      </c>
      <c r="N270" t="s">
        <v>25</v>
      </c>
    </row>
    <row r="271" spans="1:14" x14ac:dyDescent="0.3">
      <c r="A271">
        <v>56</v>
      </c>
      <c r="B271" t="s">
        <v>14</v>
      </c>
      <c r="C271" t="s">
        <v>23</v>
      </c>
      <c r="D271">
        <v>130</v>
      </c>
      <c r="E271">
        <v>283</v>
      </c>
      <c r="F271" t="s">
        <v>16</v>
      </c>
      <c r="G271">
        <v>0</v>
      </c>
      <c r="H271">
        <v>103</v>
      </c>
      <c r="I271" t="s">
        <v>24</v>
      </c>
      <c r="J271">
        <v>1.6</v>
      </c>
      <c r="K271">
        <v>0</v>
      </c>
      <c r="L271">
        <v>0</v>
      </c>
      <c r="M271">
        <v>3</v>
      </c>
      <c r="N271" t="s">
        <v>25</v>
      </c>
    </row>
    <row r="272" spans="1:14" x14ac:dyDescent="0.3">
      <c r="A272">
        <v>46</v>
      </c>
      <c r="B272" t="s">
        <v>14</v>
      </c>
      <c r="C272" t="s">
        <v>23</v>
      </c>
      <c r="D272">
        <v>120</v>
      </c>
      <c r="E272">
        <v>249</v>
      </c>
      <c r="F272" t="s">
        <v>20</v>
      </c>
      <c r="G272">
        <v>0</v>
      </c>
      <c r="H272">
        <v>144</v>
      </c>
      <c r="I272" t="s">
        <v>17</v>
      </c>
      <c r="J272">
        <v>0.8</v>
      </c>
      <c r="K272">
        <v>2</v>
      </c>
      <c r="L272">
        <v>0</v>
      </c>
      <c r="M272">
        <v>3</v>
      </c>
      <c r="N272" t="s">
        <v>25</v>
      </c>
    </row>
    <row r="273" spans="1:14" x14ac:dyDescent="0.3">
      <c r="A273">
        <v>61</v>
      </c>
      <c r="B273" t="s">
        <v>14</v>
      </c>
      <c r="C273" t="s">
        <v>15</v>
      </c>
      <c r="D273">
        <v>134</v>
      </c>
      <c r="E273">
        <v>234</v>
      </c>
      <c r="F273" t="s">
        <v>20</v>
      </c>
      <c r="G273">
        <v>1</v>
      </c>
      <c r="H273">
        <v>145</v>
      </c>
      <c r="I273" t="s">
        <v>17</v>
      </c>
      <c r="J273">
        <v>2.6</v>
      </c>
      <c r="K273">
        <v>1</v>
      </c>
      <c r="L273">
        <v>2</v>
      </c>
      <c r="M273">
        <v>2</v>
      </c>
      <c r="N273" t="s">
        <v>25</v>
      </c>
    </row>
    <row r="274" spans="1:14" x14ac:dyDescent="0.3">
      <c r="A274">
        <v>67</v>
      </c>
      <c r="B274" t="s">
        <v>14</v>
      </c>
      <c r="C274" t="s">
        <v>23</v>
      </c>
      <c r="D274">
        <v>120</v>
      </c>
      <c r="E274">
        <v>237</v>
      </c>
      <c r="F274" t="s">
        <v>20</v>
      </c>
      <c r="G274">
        <v>1</v>
      </c>
      <c r="H274">
        <v>71</v>
      </c>
      <c r="I274" t="s">
        <v>17</v>
      </c>
      <c r="J274">
        <v>1</v>
      </c>
      <c r="K274">
        <v>1</v>
      </c>
      <c r="L274">
        <v>0</v>
      </c>
      <c r="M274">
        <v>2</v>
      </c>
      <c r="N274" t="s">
        <v>25</v>
      </c>
    </row>
    <row r="275" spans="1:14" x14ac:dyDescent="0.3">
      <c r="A275">
        <v>58</v>
      </c>
      <c r="B275" t="s">
        <v>14</v>
      </c>
      <c r="C275" t="s">
        <v>23</v>
      </c>
      <c r="D275">
        <v>100</v>
      </c>
      <c r="E275">
        <v>234</v>
      </c>
      <c r="F275" t="s">
        <v>20</v>
      </c>
      <c r="G275">
        <v>1</v>
      </c>
      <c r="H275">
        <v>156</v>
      </c>
      <c r="I275" t="s">
        <v>17</v>
      </c>
      <c r="J275">
        <v>0.1</v>
      </c>
      <c r="K275">
        <v>2</v>
      </c>
      <c r="L275">
        <v>1</v>
      </c>
      <c r="M275">
        <v>3</v>
      </c>
      <c r="N275" t="s">
        <v>25</v>
      </c>
    </row>
    <row r="276" spans="1:14" x14ac:dyDescent="0.3">
      <c r="A276">
        <v>47</v>
      </c>
      <c r="B276" t="s">
        <v>14</v>
      </c>
      <c r="C276" t="s">
        <v>23</v>
      </c>
      <c r="D276">
        <v>110</v>
      </c>
      <c r="E276">
        <v>275</v>
      </c>
      <c r="F276" t="s">
        <v>20</v>
      </c>
      <c r="G276">
        <v>0</v>
      </c>
      <c r="H276">
        <v>118</v>
      </c>
      <c r="I276" t="s">
        <v>24</v>
      </c>
      <c r="J276">
        <v>1</v>
      </c>
      <c r="K276">
        <v>1</v>
      </c>
      <c r="L276">
        <v>1</v>
      </c>
      <c r="M276">
        <v>2</v>
      </c>
      <c r="N276" t="s">
        <v>25</v>
      </c>
    </row>
    <row r="277" spans="1:14" x14ac:dyDescent="0.3">
      <c r="A277">
        <v>52</v>
      </c>
      <c r="B277" t="s">
        <v>14</v>
      </c>
      <c r="C277" t="s">
        <v>23</v>
      </c>
      <c r="D277">
        <v>125</v>
      </c>
      <c r="E277">
        <v>212</v>
      </c>
      <c r="F277" t="s">
        <v>20</v>
      </c>
      <c r="G277">
        <v>1</v>
      </c>
      <c r="H277">
        <v>168</v>
      </c>
      <c r="I277" t="s">
        <v>17</v>
      </c>
      <c r="J277">
        <v>1</v>
      </c>
      <c r="K277">
        <v>2</v>
      </c>
      <c r="L277">
        <v>2</v>
      </c>
      <c r="M277">
        <v>3</v>
      </c>
      <c r="N277" t="s">
        <v>25</v>
      </c>
    </row>
    <row r="278" spans="1:14" x14ac:dyDescent="0.3">
      <c r="A278">
        <v>58</v>
      </c>
      <c r="B278" t="s">
        <v>14</v>
      </c>
      <c r="C278" t="s">
        <v>23</v>
      </c>
      <c r="D278">
        <v>146</v>
      </c>
      <c r="E278">
        <v>218</v>
      </c>
      <c r="F278" t="s">
        <v>20</v>
      </c>
      <c r="G278">
        <v>1</v>
      </c>
      <c r="H278">
        <v>105</v>
      </c>
      <c r="I278" t="s">
        <v>17</v>
      </c>
      <c r="J278">
        <v>2</v>
      </c>
      <c r="K278">
        <v>1</v>
      </c>
      <c r="L278">
        <v>1</v>
      </c>
      <c r="M278">
        <v>3</v>
      </c>
      <c r="N278" t="s">
        <v>25</v>
      </c>
    </row>
    <row r="279" spans="1:14" x14ac:dyDescent="0.3">
      <c r="A279">
        <v>57</v>
      </c>
      <c r="B279" t="s">
        <v>14</v>
      </c>
      <c r="C279" t="s">
        <v>22</v>
      </c>
      <c r="D279">
        <v>124</v>
      </c>
      <c r="E279">
        <v>261</v>
      </c>
      <c r="F279" t="s">
        <v>20</v>
      </c>
      <c r="G279">
        <v>1</v>
      </c>
      <c r="H279">
        <v>141</v>
      </c>
      <c r="I279" t="s">
        <v>17</v>
      </c>
      <c r="J279">
        <v>0.3</v>
      </c>
      <c r="K279">
        <v>2</v>
      </c>
      <c r="L279">
        <v>0</v>
      </c>
      <c r="M279">
        <v>3</v>
      </c>
      <c r="N279" t="s">
        <v>25</v>
      </c>
    </row>
    <row r="280" spans="1:14" x14ac:dyDescent="0.3">
      <c r="A280">
        <v>58</v>
      </c>
      <c r="B280" t="s">
        <v>21</v>
      </c>
      <c r="C280" t="s">
        <v>22</v>
      </c>
      <c r="D280">
        <v>136</v>
      </c>
      <c r="E280">
        <v>319</v>
      </c>
      <c r="F280" t="s">
        <v>16</v>
      </c>
      <c r="G280">
        <v>0</v>
      </c>
      <c r="H280">
        <v>152</v>
      </c>
      <c r="I280" t="s">
        <v>17</v>
      </c>
      <c r="J280">
        <v>0</v>
      </c>
      <c r="K280">
        <v>2</v>
      </c>
      <c r="L280">
        <v>2</v>
      </c>
      <c r="M280">
        <v>2</v>
      </c>
      <c r="N280" t="s">
        <v>25</v>
      </c>
    </row>
    <row r="281" spans="1:14" x14ac:dyDescent="0.3">
      <c r="A281">
        <v>61</v>
      </c>
      <c r="B281" t="s">
        <v>14</v>
      </c>
      <c r="C281" t="s">
        <v>23</v>
      </c>
      <c r="D281">
        <v>138</v>
      </c>
      <c r="E281">
        <v>166</v>
      </c>
      <c r="F281" t="s">
        <v>20</v>
      </c>
      <c r="G281">
        <v>0</v>
      </c>
      <c r="H281">
        <v>125</v>
      </c>
      <c r="I281" t="s">
        <v>24</v>
      </c>
      <c r="J281">
        <v>3.6</v>
      </c>
      <c r="K281">
        <v>1</v>
      </c>
      <c r="L281">
        <v>1</v>
      </c>
      <c r="M281">
        <v>2</v>
      </c>
      <c r="N281" t="s">
        <v>25</v>
      </c>
    </row>
    <row r="282" spans="1:14" x14ac:dyDescent="0.3">
      <c r="A282">
        <v>42</v>
      </c>
      <c r="B282" t="s">
        <v>14</v>
      </c>
      <c r="C282" t="s">
        <v>23</v>
      </c>
      <c r="D282">
        <v>136</v>
      </c>
      <c r="E282">
        <v>315</v>
      </c>
      <c r="F282" t="s">
        <v>20</v>
      </c>
      <c r="G282">
        <v>1</v>
      </c>
      <c r="H282">
        <v>125</v>
      </c>
      <c r="I282" t="s">
        <v>24</v>
      </c>
      <c r="J282">
        <v>1.8</v>
      </c>
      <c r="K282">
        <v>1</v>
      </c>
      <c r="L282">
        <v>0</v>
      </c>
      <c r="M282">
        <v>1</v>
      </c>
      <c r="N282" t="s">
        <v>25</v>
      </c>
    </row>
    <row r="283" spans="1:14" x14ac:dyDescent="0.3">
      <c r="A283">
        <v>52</v>
      </c>
      <c r="B283" t="s">
        <v>14</v>
      </c>
      <c r="C283" t="s">
        <v>23</v>
      </c>
      <c r="D283">
        <v>128</v>
      </c>
      <c r="E283">
        <v>204</v>
      </c>
      <c r="F283" t="s">
        <v>16</v>
      </c>
      <c r="G283">
        <v>1</v>
      </c>
      <c r="H283">
        <v>156</v>
      </c>
      <c r="I283" t="s">
        <v>24</v>
      </c>
      <c r="J283">
        <v>1</v>
      </c>
      <c r="K283">
        <v>1</v>
      </c>
      <c r="L283">
        <v>0</v>
      </c>
      <c r="M283">
        <v>0</v>
      </c>
      <c r="N283" t="s">
        <v>25</v>
      </c>
    </row>
    <row r="284" spans="1:14" x14ac:dyDescent="0.3">
      <c r="A284">
        <v>59</v>
      </c>
      <c r="B284" t="s">
        <v>14</v>
      </c>
      <c r="C284" t="s">
        <v>19</v>
      </c>
      <c r="D284">
        <v>126</v>
      </c>
      <c r="E284">
        <v>218</v>
      </c>
      <c r="F284" t="s">
        <v>16</v>
      </c>
      <c r="G284">
        <v>1</v>
      </c>
      <c r="H284">
        <v>134</v>
      </c>
      <c r="I284" t="s">
        <v>17</v>
      </c>
      <c r="J284">
        <v>2.2000000000000002</v>
      </c>
      <c r="K284">
        <v>1</v>
      </c>
      <c r="L284">
        <v>1</v>
      </c>
      <c r="M284">
        <v>1</v>
      </c>
      <c r="N284" t="s">
        <v>25</v>
      </c>
    </row>
    <row r="285" spans="1:14" x14ac:dyDescent="0.3">
      <c r="A285">
        <v>40</v>
      </c>
      <c r="B285" t="s">
        <v>14</v>
      </c>
      <c r="C285" t="s">
        <v>23</v>
      </c>
      <c r="D285">
        <v>152</v>
      </c>
      <c r="E285">
        <v>223</v>
      </c>
      <c r="F285" t="s">
        <v>20</v>
      </c>
      <c r="G285">
        <v>1</v>
      </c>
      <c r="H285">
        <v>181</v>
      </c>
      <c r="I285" t="s">
        <v>17</v>
      </c>
      <c r="J285">
        <v>0</v>
      </c>
      <c r="K285">
        <v>2</v>
      </c>
      <c r="L285">
        <v>0</v>
      </c>
      <c r="M285">
        <v>3</v>
      </c>
      <c r="N285" t="s">
        <v>25</v>
      </c>
    </row>
    <row r="286" spans="1:14" x14ac:dyDescent="0.3">
      <c r="A286">
        <v>61</v>
      </c>
      <c r="B286" t="s">
        <v>14</v>
      </c>
      <c r="C286" t="s">
        <v>23</v>
      </c>
      <c r="D286">
        <v>140</v>
      </c>
      <c r="E286">
        <v>207</v>
      </c>
      <c r="F286" t="s">
        <v>20</v>
      </c>
      <c r="G286">
        <v>0</v>
      </c>
      <c r="H286">
        <v>138</v>
      </c>
      <c r="I286" t="s">
        <v>24</v>
      </c>
      <c r="J286">
        <v>1.9</v>
      </c>
      <c r="K286">
        <v>2</v>
      </c>
      <c r="L286">
        <v>1</v>
      </c>
      <c r="M286">
        <v>3</v>
      </c>
      <c r="N286" t="s">
        <v>25</v>
      </c>
    </row>
    <row r="287" spans="1:14" x14ac:dyDescent="0.3">
      <c r="A287">
        <v>46</v>
      </c>
      <c r="B287" t="s">
        <v>14</v>
      </c>
      <c r="C287" t="s">
        <v>23</v>
      </c>
      <c r="D287">
        <v>140</v>
      </c>
      <c r="E287">
        <v>311</v>
      </c>
      <c r="F287" t="s">
        <v>20</v>
      </c>
      <c r="G287">
        <v>1</v>
      </c>
      <c r="H287">
        <v>120</v>
      </c>
      <c r="I287" t="s">
        <v>24</v>
      </c>
      <c r="J287">
        <v>1.8</v>
      </c>
      <c r="K287">
        <v>1</v>
      </c>
      <c r="L287">
        <v>2</v>
      </c>
      <c r="M287">
        <v>3</v>
      </c>
      <c r="N287" t="s">
        <v>25</v>
      </c>
    </row>
    <row r="288" spans="1:14" x14ac:dyDescent="0.3">
      <c r="A288">
        <v>59</v>
      </c>
      <c r="B288" t="s">
        <v>14</v>
      </c>
      <c r="C288" t="s">
        <v>15</v>
      </c>
      <c r="D288">
        <v>134</v>
      </c>
      <c r="E288">
        <v>204</v>
      </c>
      <c r="F288" t="s">
        <v>20</v>
      </c>
      <c r="G288">
        <v>1</v>
      </c>
      <c r="H288">
        <v>162</v>
      </c>
      <c r="I288" t="s">
        <v>17</v>
      </c>
      <c r="J288">
        <v>0.8</v>
      </c>
      <c r="K288">
        <v>2</v>
      </c>
      <c r="L288">
        <v>2</v>
      </c>
      <c r="M288">
        <v>2</v>
      </c>
      <c r="N288" t="s">
        <v>25</v>
      </c>
    </row>
    <row r="289" spans="1:14" x14ac:dyDescent="0.3">
      <c r="A289">
        <v>57</v>
      </c>
      <c r="B289" t="s">
        <v>14</v>
      </c>
      <c r="C289" t="s">
        <v>22</v>
      </c>
      <c r="D289">
        <v>154</v>
      </c>
      <c r="E289">
        <v>232</v>
      </c>
      <c r="F289" t="s">
        <v>20</v>
      </c>
      <c r="G289">
        <v>0</v>
      </c>
      <c r="H289">
        <v>164</v>
      </c>
      <c r="I289" t="s">
        <v>17</v>
      </c>
      <c r="J289">
        <v>0</v>
      </c>
      <c r="K289">
        <v>2</v>
      </c>
      <c r="L289">
        <v>1</v>
      </c>
      <c r="M289">
        <v>2</v>
      </c>
      <c r="N289" t="s">
        <v>25</v>
      </c>
    </row>
    <row r="290" spans="1:14" x14ac:dyDescent="0.3">
      <c r="A290">
        <v>57</v>
      </c>
      <c r="B290" t="s">
        <v>14</v>
      </c>
      <c r="C290" t="s">
        <v>23</v>
      </c>
      <c r="D290">
        <v>110</v>
      </c>
      <c r="E290">
        <v>335</v>
      </c>
      <c r="F290" t="s">
        <v>20</v>
      </c>
      <c r="G290">
        <v>1</v>
      </c>
      <c r="H290">
        <v>143</v>
      </c>
      <c r="I290" t="s">
        <v>24</v>
      </c>
      <c r="J290">
        <v>3</v>
      </c>
      <c r="K290">
        <v>1</v>
      </c>
      <c r="L290">
        <v>1</v>
      </c>
      <c r="M290">
        <v>3</v>
      </c>
      <c r="N290" t="s">
        <v>25</v>
      </c>
    </row>
    <row r="291" spans="1:14" x14ac:dyDescent="0.3">
      <c r="A291">
        <v>55</v>
      </c>
      <c r="B291" t="s">
        <v>21</v>
      </c>
      <c r="C291" t="s">
        <v>23</v>
      </c>
      <c r="D291">
        <v>128</v>
      </c>
      <c r="E291">
        <v>205</v>
      </c>
      <c r="F291" t="s">
        <v>20</v>
      </c>
      <c r="G291">
        <v>2</v>
      </c>
      <c r="H291">
        <v>130</v>
      </c>
      <c r="I291" t="s">
        <v>24</v>
      </c>
      <c r="J291">
        <v>2</v>
      </c>
      <c r="K291">
        <v>1</v>
      </c>
      <c r="L291">
        <v>1</v>
      </c>
      <c r="M291">
        <v>3</v>
      </c>
      <c r="N291" t="s">
        <v>25</v>
      </c>
    </row>
    <row r="292" spans="1:14" x14ac:dyDescent="0.3">
      <c r="A292">
        <v>61</v>
      </c>
      <c r="B292" t="s">
        <v>14</v>
      </c>
      <c r="C292" t="s">
        <v>23</v>
      </c>
      <c r="D292">
        <v>148</v>
      </c>
      <c r="E292">
        <v>203</v>
      </c>
      <c r="F292" t="s">
        <v>20</v>
      </c>
      <c r="G292">
        <v>1</v>
      </c>
      <c r="H292">
        <v>161</v>
      </c>
      <c r="I292" t="s">
        <v>17</v>
      </c>
      <c r="J292">
        <v>0</v>
      </c>
      <c r="K292">
        <v>2</v>
      </c>
      <c r="L292">
        <v>1</v>
      </c>
      <c r="M292">
        <v>3</v>
      </c>
      <c r="N292" t="s">
        <v>25</v>
      </c>
    </row>
    <row r="293" spans="1:14" x14ac:dyDescent="0.3">
      <c r="A293">
        <v>58</v>
      </c>
      <c r="B293" t="s">
        <v>14</v>
      </c>
      <c r="C293" t="s">
        <v>23</v>
      </c>
      <c r="D293">
        <v>114</v>
      </c>
      <c r="E293">
        <v>318</v>
      </c>
      <c r="F293" t="s">
        <v>20</v>
      </c>
      <c r="G293">
        <v>2</v>
      </c>
      <c r="H293">
        <v>140</v>
      </c>
      <c r="I293" t="s">
        <v>17</v>
      </c>
      <c r="J293">
        <v>4.4000000000000004</v>
      </c>
      <c r="K293">
        <v>0</v>
      </c>
      <c r="L293">
        <v>3</v>
      </c>
      <c r="M293">
        <v>1</v>
      </c>
      <c r="N293" t="s">
        <v>25</v>
      </c>
    </row>
    <row r="294" spans="1:14" x14ac:dyDescent="0.3">
      <c r="A294">
        <v>58</v>
      </c>
      <c r="B294" t="s">
        <v>21</v>
      </c>
      <c r="C294" t="s">
        <v>23</v>
      </c>
      <c r="D294">
        <v>170</v>
      </c>
      <c r="E294">
        <v>225</v>
      </c>
      <c r="F294" t="s">
        <v>16</v>
      </c>
      <c r="G294">
        <v>0</v>
      </c>
      <c r="H294">
        <v>146</v>
      </c>
      <c r="I294" t="s">
        <v>24</v>
      </c>
      <c r="J294">
        <v>2.8</v>
      </c>
      <c r="K294">
        <v>1</v>
      </c>
      <c r="L294">
        <v>2</v>
      </c>
      <c r="M294">
        <v>1</v>
      </c>
      <c r="N294" t="s">
        <v>25</v>
      </c>
    </row>
    <row r="295" spans="1:14" x14ac:dyDescent="0.3">
      <c r="A295">
        <v>67</v>
      </c>
      <c r="B295" t="s">
        <v>14</v>
      </c>
      <c r="C295" t="s">
        <v>19</v>
      </c>
      <c r="D295">
        <v>152</v>
      </c>
      <c r="E295">
        <v>212</v>
      </c>
      <c r="F295" t="s">
        <v>20</v>
      </c>
      <c r="G295">
        <v>0</v>
      </c>
      <c r="H295">
        <v>150</v>
      </c>
      <c r="I295" t="s">
        <v>17</v>
      </c>
      <c r="J295">
        <v>0.8</v>
      </c>
      <c r="K295">
        <v>1</v>
      </c>
      <c r="L295">
        <v>0</v>
      </c>
      <c r="M295">
        <v>3</v>
      </c>
      <c r="N295" t="s">
        <v>25</v>
      </c>
    </row>
    <row r="296" spans="1:14" x14ac:dyDescent="0.3">
      <c r="A296">
        <v>44</v>
      </c>
      <c r="B296" t="s">
        <v>14</v>
      </c>
      <c r="C296" t="s">
        <v>23</v>
      </c>
      <c r="D296">
        <v>120</v>
      </c>
      <c r="E296">
        <v>169</v>
      </c>
      <c r="F296" t="s">
        <v>20</v>
      </c>
      <c r="G296">
        <v>1</v>
      </c>
      <c r="H296">
        <v>144</v>
      </c>
      <c r="I296" t="s">
        <v>24</v>
      </c>
      <c r="J296">
        <v>2.8</v>
      </c>
      <c r="K296">
        <v>0</v>
      </c>
      <c r="L296">
        <v>0</v>
      </c>
      <c r="M296">
        <v>1</v>
      </c>
      <c r="N296" t="s">
        <v>25</v>
      </c>
    </row>
    <row r="297" spans="1:14" x14ac:dyDescent="0.3">
      <c r="A297">
        <v>63</v>
      </c>
      <c r="B297" t="s">
        <v>14</v>
      </c>
      <c r="C297" t="s">
        <v>23</v>
      </c>
      <c r="D297">
        <v>140</v>
      </c>
      <c r="E297">
        <v>187</v>
      </c>
      <c r="F297" t="s">
        <v>20</v>
      </c>
      <c r="G297">
        <v>0</v>
      </c>
      <c r="H297">
        <v>144</v>
      </c>
      <c r="I297" t="s">
        <v>24</v>
      </c>
      <c r="J297">
        <v>4</v>
      </c>
      <c r="K297">
        <v>2</v>
      </c>
      <c r="L297">
        <v>2</v>
      </c>
      <c r="M297">
        <v>3</v>
      </c>
      <c r="N297" t="s">
        <v>25</v>
      </c>
    </row>
    <row r="298" spans="1:14" x14ac:dyDescent="0.3">
      <c r="A298">
        <v>63</v>
      </c>
      <c r="B298" t="s">
        <v>21</v>
      </c>
      <c r="C298" t="s">
        <v>23</v>
      </c>
      <c r="D298">
        <v>124</v>
      </c>
      <c r="E298">
        <v>197</v>
      </c>
      <c r="F298" t="s">
        <v>20</v>
      </c>
      <c r="G298">
        <v>1</v>
      </c>
      <c r="H298">
        <v>136</v>
      </c>
      <c r="I298" t="s">
        <v>24</v>
      </c>
      <c r="J298">
        <v>0</v>
      </c>
      <c r="K298">
        <v>1</v>
      </c>
      <c r="L298">
        <v>0</v>
      </c>
      <c r="M298">
        <v>2</v>
      </c>
      <c r="N298" t="s">
        <v>25</v>
      </c>
    </row>
    <row r="299" spans="1:14" x14ac:dyDescent="0.3">
      <c r="A299">
        <v>59</v>
      </c>
      <c r="B299" t="s">
        <v>14</v>
      </c>
      <c r="C299" t="s">
        <v>23</v>
      </c>
      <c r="D299">
        <v>164</v>
      </c>
      <c r="E299">
        <v>176</v>
      </c>
      <c r="F299" t="s">
        <v>16</v>
      </c>
      <c r="G299">
        <v>0</v>
      </c>
      <c r="H299">
        <v>90</v>
      </c>
      <c r="I299" t="s">
        <v>17</v>
      </c>
      <c r="J299">
        <v>1</v>
      </c>
      <c r="K299">
        <v>1</v>
      </c>
      <c r="L299">
        <v>2</v>
      </c>
      <c r="M299">
        <v>1</v>
      </c>
      <c r="N299" t="s">
        <v>25</v>
      </c>
    </row>
    <row r="300" spans="1:14" x14ac:dyDescent="0.3">
      <c r="A300">
        <v>57</v>
      </c>
      <c r="B300" t="s">
        <v>21</v>
      </c>
      <c r="C300" t="s">
        <v>23</v>
      </c>
      <c r="D300">
        <v>140</v>
      </c>
      <c r="E300">
        <v>241</v>
      </c>
      <c r="F300" t="s">
        <v>20</v>
      </c>
      <c r="G300">
        <v>1</v>
      </c>
      <c r="H300">
        <v>123</v>
      </c>
      <c r="I300" t="s">
        <v>24</v>
      </c>
      <c r="J300">
        <v>0.2</v>
      </c>
      <c r="K300">
        <v>1</v>
      </c>
      <c r="L300">
        <v>0</v>
      </c>
      <c r="M300">
        <v>3</v>
      </c>
      <c r="N300" t="s">
        <v>25</v>
      </c>
    </row>
    <row r="301" spans="1:14" x14ac:dyDescent="0.3">
      <c r="A301">
        <v>45</v>
      </c>
      <c r="B301" t="s">
        <v>14</v>
      </c>
      <c r="C301" t="s">
        <v>15</v>
      </c>
      <c r="D301">
        <v>110</v>
      </c>
      <c r="E301">
        <v>264</v>
      </c>
      <c r="F301" t="s">
        <v>20</v>
      </c>
      <c r="G301">
        <v>1</v>
      </c>
      <c r="H301">
        <v>132</v>
      </c>
      <c r="I301" t="s">
        <v>17</v>
      </c>
      <c r="J301">
        <v>1.2</v>
      </c>
      <c r="K301">
        <v>1</v>
      </c>
      <c r="L301">
        <v>0</v>
      </c>
      <c r="M301">
        <v>3</v>
      </c>
      <c r="N301" t="s">
        <v>25</v>
      </c>
    </row>
    <row r="302" spans="1:14" x14ac:dyDescent="0.3">
      <c r="A302">
        <v>68</v>
      </c>
      <c r="B302" t="s">
        <v>14</v>
      </c>
      <c r="C302" t="s">
        <v>23</v>
      </c>
      <c r="D302">
        <v>144</v>
      </c>
      <c r="E302">
        <v>193</v>
      </c>
      <c r="F302" t="s">
        <v>16</v>
      </c>
      <c r="G302">
        <v>1</v>
      </c>
      <c r="H302">
        <v>141</v>
      </c>
      <c r="I302" t="s">
        <v>17</v>
      </c>
      <c r="J302">
        <v>3.4</v>
      </c>
      <c r="K302">
        <v>1</v>
      </c>
      <c r="L302">
        <v>2</v>
      </c>
      <c r="M302">
        <v>3</v>
      </c>
      <c r="N302" t="s">
        <v>25</v>
      </c>
    </row>
    <row r="303" spans="1:14" x14ac:dyDescent="0.3">
      <c r="A303">
        <v>57</v>
      </c>
      <c r="B303" t="s">
        <v>14</v>
      </c>
      <c r="C303" t="s">
        <v>23</v>
      </c>
      <c r="D303">
        <v>130</v>
      </c>
      <c r="E303">
        <v>131</v>
      </c>
      <c r="F303" t="s">
        <v>20</v>
      </c>
      <c r="G303">
        <v>1</v>
      </c>
      <c r="H303">
        <v>115</v>
      </c>
      <c r="I303" t="s">
        <v>24</v>
      </c>
      <c r="J303">
        <v>1.2</v>
      </c>
      <c r="K303">
        <v>1</v>
      </c>
      <c r="L303">
        <v>1</v>
      </c>
      <c r="M303">
        <v>3</v>
      </c>
      <c r="N303" t="s">
        <v>25</v>
      </c>
    </row>
    <row r="304" spans="1:14" x14ac:dyDescent="0.3">
      <c r="A304">
        <v>57</v>
      </c>
      <c r="B304" t="s">
        <v>21</v>
      </c>
      <c r="C304" t="s">
        <v>22</v>
      </c>
      <c r="D304">
        <v>130</v>
      </c>
      <c r="E304">
        <v>236</v>
      </c>
      <c r="F304" t="s">
        <v>20</v>
      </c>
      <c r="G304">
        <v>0</v>
      </c>
      <c r="H304">
        <v>174</v>
      </c>
      <c r="I304" t="s">
        <v>17</v>
      </c>
      <c r="J304">
        <v>0</v>
      </c>
      <c r="K304">
        <v>1</v>
      </c>
      <c r="L304">
        <v>1</v>
      </c>
      <c r="M304">
        <v>2</v>
      </c>
      <c r="N304" t="s">
        <v>25</v>
      </c>
    </row>
  </sheetData>
  <autoFilter ref="A1:B1" xr:uid="{00000000-0001-0000-00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DB2D6-CB69-4C1F-B562-FEBC999B40E7}">
  <sheetPr filterMode="1"/>
  <dimension ref="A1:N166"/>
  <sheetViews>
    <sheetView workbookViewId="0">
      <selection sqref="A1:N157"/>
    </sheetView>
  </sheetViews>
  <sheetFormatPr defaultRowHeight="14.4" x14ac:dyDescent="0.3"/>
  <cols>
    <col min="1" max="1" width="3.6640625" bestFit="1" customWidth="1"/>
    <col min="2" max="2" width="8.44140625" bestFit="1" customWidth="1"/>
    <col min="3" max="3" width="18.109375" bestFit="1" customWidth="1"/>
    <col min="4" max="4" width="15.33203125" bestFit="1" customWidth="1"/>
    <col min="5" max="5" width="10.21875" bestFit="1" customWidth="1"/>
    <col min="6" max="6" width="15.33203125" bestFit="1" customWidth="1"/>
    <col min="7" max="7" width="10.109375" bestFit="1" customWidth="1"/>
    <col min="8" max="8" width="17.21875" bestFit="1" customWidth="1"/>
    <col min="9" max="9" width="12.77734375" bestFit="1" customWidth="1"/>
    <col min="10" max="10" width="13.6640625" bestFit="1" customWidth="1"/>
    <col min="11" max="11" width="11.6640625" bestFit="1" customWidth="1"/>
    <col min="12" max="12" width="12.88671875" bestFit="1" customWidth="1"/>
    <col min="13" max="13" width="9.77734375" bestFit="1" customWidth="1"/>
    <col min="14" max="14" width="8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>
        <v>63</v>
      </c>
      <c r="B2" t="s">
        <v>14</v>
      </c>
      <c r="C2" t="s">
        <v>15</v>
      </c>
      <c r="D2">
        <v>145</v>
      </c>
      <c r="E2">
        <v>233</v>
      </c>
      <c r="F2" t="s">
        <v>16</v>
      </c>
      <c r="G2">
        <v>0</v>
      </c>
      <c r="H2">
        <v>150</v>
      </c>
      <c r="I2" t="s">
        <v>17</v>
      </c>
      <c r="J2">
        <v>2.2999999999999998</v>
      </c>
      <c r="K2">
        <v>0</v>
      </c>
      <c r="L2">
        <v>0</v>
      </c>
      <c r="M2">
        <v>1</v>
      </c>
      <c r="N2" t="s">
        <v>18</v>
      </c>
    </row>
    <row r="3" spans="1:14" hidden="1" x14ac:dyDescent="0.3">
      <c r="A3">
        <v>37</v>
      </c>
      <c r="B3" t="s">
        <v>14</v>
      </c>
      <c r="C3" t="s">
        <v>19</v>
      </c>
      <c r="D3">
        <v>130</v>
      </c>
      <c r="E3">
        <v>250</v>
      </c>
      <c r="F3" t="s">
        <v>20</v>
      </c>
      <c r="G3">
        <v>1</v>
      </c>
      <c r="H3">
        <v>187</v>
      </c>
      <c r="I3" t="s">
        <v>17</v>
      </c>
      <c r="J3">
        <v>3.5</v>
      </c>
      <c r="K3">
        <v>0</v>
      </c>
      <c r="L3">
        <v>0</v>
      </c>
      <c r="M3">
        <v>2</v>
      </c>
      <c r="N3" t="s">
        <v>18</v>
      </c>
    </row>
    <row r="4" spans="1:14" hidden="1" x14ac:dyDescent="0.3">
      <c r="A4">
        <v>41</v>
      </c>
      <c r="B4" t="s">
        <v>21</v>
      </c>
      <c r="C4" t="s">
        <v>22</v>
      </c>
      <c r="D4">
        <v>130</v>
      </c>
      <c r="E4">
        <v>204</v>
      </c>
      <c r="F4" t="s">
        <v>20</v>
      </c>
      <c r="G4">
        <v>0</v>
      </c>
      <c r="H4">
        <v>172</v>
      </c>
      <c r="I4" t="s">
        <v>17</v>
      </c>
      <c r="J4">
        <v>1.4</v>
      </c>
      <c r="K4">
        <v>2</v>
      </c>
      <c r="L4">
        <v>0</v>
      </c>
      <c r="M4">
        <v>2</v>
      </c>
      <c r="N4" t="s">
        <v>18</v>
      </c>
    </row>
    <row r="5" spans="1:14" hidden="1" x14ac:dyDescent="0.3">
      <c r="A5">
        <v>56</v>
      </c>
      <c r="B5" t="s">
        <v>14</v>
      </c>
      <c r="C5" t="s">
        <v>22</v>
      </c>
      <c r="D5">
        <v>120</v>
      </c>
      <c r="E5">
        <v>236</v>
      </c>
      <c r="F5" t="s">
        <v>20</v>
      </c>
      <c r="G5">
        <v>1</v>
      </c>
      <c r="H5">
        <v>178</v>
      </c>
      <c r="I5" t="s">
        <v>17</v>
      </c>
      <c r="J5">
        <v>0.8</v>
      </c>
      <c r="K5">
        <v>2</v>
      </c>
      <c r="L5">
        <v>0</v>
      </c>
      <c r="M5">
        <v>2</v>
      </c>
      <c r="N5" t="s">
        <v>18</v>
      </c>
    </row>
    <row r="6" spans="1:14" x14ac:dyDescent="0.3">
      <c r="A6">
        <v>57</v>
      </c>
      <c r="B6" t="s">
        <v>21</v>
      </c>
      <c r="C6" t="s">
        <v>23</v>
      </c>
      <c r="D6">
        <v>120</v>
      </c>
      <c r="E6">
        <v>354</v>
      </c>
      <c r="F6" t="s">
        <v>20</v>
      </c>
      <c r="G6">
        <v>1</v>
      </c>
      <c r="H6">
        <v>163</v>
      </c>
      <c r="I6" t="s">
        <v>24</v>
      </c>
      <c r="J6">
        <v>0.6</v>
      </c>
      <c r="K6">
        <v>2</v>
      </c>
      <c r="L6">
        <v>0</v>
      </c>
      <c r="M6">
        <v>2</v>
      </c>
      <c r="N6" t="s">
        <v>18</v>
      </c>
    </row>
    <row r="7" spans="1:14" x14ac:dyDescent="0.3">
      <c r="A7">
        <v>57</v>
      </c>
      <c r="B7" t="s">
        <v>14</v>
      </c>
      <c r="C7" t="s">
        <v>23</v>
      </c>
      <c r="D7">
        <v>140</v>
      </c>
      <c r="E7">
        <v>192</v>
      </c>
      <c r="F7" t="s">
        <v>20</v>
      </c>
      <c r="G7">
        <v>1</v>
      </c>
      <c r="H7">
        <v>148</v>
      </c>
      <c r="I7" t="s">
        <v>17</v>
      </c>
      <c r="J7">
        <v>0.4</v>
      </c>
      <c r="K7">
        <v>1</v>
      </c>
      <c r="L7">
        <v>0</v>
      </c>
      <c r="M7">
        <v>1</v>
      </c>
      <c r="N7" t="s">
        <v>18</v>
      </c>
    </row>
    <row r="8" spans="1:14" hidden="1" x14ac:dyDescent="0.3">
      <c r="A8">
        <v>56</v>
      </c>
      <c r="B8" t="s">
        <v>21</v>
      </c>
      <c r="C8" t="s">
        <v>22</v>
      </c>
      <c r="D8">
        <v>140</v>
      </c>
      <c r="E8">
        <v>294</v>
      </c>
      <c r="F8" t="s">
        <v>20</v>
      </c>
      <c r="G8">
        <v>0</v>
      </c>
      <c r="H8">
        <v>153</v>
      </c>
      <c r="I8" t="s">
        <v>17</v>
      </c>
      <c r="J8">
        <v>1.3</v>
      </c>
      <c r="K8">
        <v>1</v>
      </c>
      <c r="L8">
        <v>0</v>
      </c>
      <c r="M8">
        <v>2</v>
      </c>
      <c r="N8" t="s">
        <v>18</v>
      </c>
    </row>
    <row r="9" spans="1:14" hidden="1" x14ac:dyDescent="0.3">
      <c r="A9">
        <v>44</v>
      </c>
      <c r="B9" t="s">
        <v>14</v>
      </c>
      <c r="C9" t="s">
        <v>22</v>
      </c>
      <c r="D9">
        <v>120</v>
      </c>
      <c r="E9">
        <v>263</v>
      </c>
      <c r="F9" t="s">
        <v>20</v>
      </c>
      <c r="G9">
        <v>1</v>
      </c>
      <c r="H9">
        <v>173</v>
      </c>
      <c r="I9" t="s">
        <v>17</v>
      </c>
      <c r="J9">
        <v>0</v>
      </c>
      <c r="K9">
        <v>2</v>
      </c>
      <c r="L9">
        <v>0</v>
      </c>
      <c r="M9">
        <v>3</v>
      </c>
      <c r="N9" t="s">
        <v>18</v>
      </c>
    </row>
    <row r="10" spans="1:14" hidden="1" x14ac:dyDescent="0.3">
      <c r="A10">
        <v>52</v>
      </c>
      <c r="B10" t="s">
        <v>14</v>
      </c>
      <c r="C10" t="s">
        <v>19</v>
      </c>
      <c r="D10">
        <v>172</v>
      </c>
      <c r="E10">
        <v>199</v>
      </c>
      <c r="F10" t="s">
        <v>16</v>
      </c>
      <c r="G10">
        <v>1</v>
      </c>
      <c r="H10">
        <v>162</v>
      </c>
      <c r="I10" t="s">
        <v>17</v>
      </c>
      <c r="J10">
        <v>0.5</v>
      </c>
      <c r="K10">
        <v>2</v>
      </c>
      <c r="L10">
        <v>0</v>
      </c>
      <c r="M10">
        <v>3</v>
      </c>
      <c r="N10" t="s">
        <v>18</v>
      </c>
    </row>
    <row r="11" spans="1:14" hidden="1" x14ac:dyDescent="0.3">
      <c r="A11">
        <v>57</v>
      </c>
      <c r="B11" t="s">
        <v>14</v>
      </c>
      <c r="C11" t="s">
        <v>19</v>
      </c>
      <c r="D11">
        <v>150</v>
      </c>
      <c r="E11">
        <v>168</v>
      </c>
      <c r="F11" t="s">
        <v>20</v>
      </c>
      <c r="G11">
        <v>1</v>
      </c>
      <c r="H11">
        <v>174</v>
      </c>
      <c r="I11" t="s">
        <v>17</v>
      </c>
      <c r="J11">
        <v>1.6</v>
      </c>
      <c r="K11">
        <v>2</v>
      </c>
      <c r="L11">
        <v>0</v>
      </c>
      <c r="M11">
        <v>2</v>
      </c>
      <c r="N11" t="s">
        <v>18</v>
      </c>
    </row>
    <row r="12" spans="1:14" x14ac:dyDescent="0.3">
      <c r="A12">
        <v>54</v>
      </c>
      <c r="B12" t="s">
        <v>14</v>
      </c>
      <c r="C12" t="s">
        <v>23</v>
      </c>
      <c r="D12">
        <v>140</v>
      </c>
      <c r="E12">
        <v>239</v>
      </c>
      <c r="F12" t="s">
        <v>20</v>
      </c>
      <c r="G12">
        <v>1</v>
      </c>
      <c r="H12">
        <v>160</v>
      </c>
      <c r="I12" t="s">
        <v>17</v>
      </c>
      <c r="J12">
        <v>1.2</v>
      </c>
      <c r="K12">
        <v>2</v>
      </c>
      <c r="L12">
        <v>0</v>
      </c>
      <c r="M12">
        <v>2</v>
      </c>
      <c r="N12" t="s">
        <v>18</v>
      </c>
    </row>
    <row r="13" spans="1:14" hidden="1" x14ac:dyDescent="0.3">
      <c r="A13">
        <v>48</v>
      </c>
      <c r="B13" t="s">
        <v>21</v>
      </c>
      <c r="C13" t="s">
        <v>19</v>
      </c>
      <c r="D13">
        <v>130</v>
      </c>
      <c r="E13">
        <v>275</v>
      </c>
      <c r="F13" t="s">
        <v>20</v>
      </c>
      <c r="G13">
        <v>1</v>
      </c>
      <c r="H13">
        <v>139</v>
      </c>
      <c r="I13" t="s">
        <v>17</v>
      </c>
      <c r="J13">
        <v>0.2</v>
      </c>
      <c r="K13">
        <v>2</v>
      </c>
      <c r="L13">
        <v>0</v>
      </c>
      <c r="M13">
        <v>2</v>
      </c>
      <c r="N13" t="s">
        <v>18</v>
      </c>
    </row>
    <row r="14" spans="1:14" hidden="1" x14ac:dyDescent="0.3">
      <c r="A14">
        <v>49</v>
      </c>
      <c r="B14" t="s">
        <v>14</v>
      </c>
      <c r="C14" t="s">
        <v>22</v>
      </c>
      <c r="D14">
        <v>130</v>
      </c>
      <c r="E14">
        <v>266</v>
      </c>
      <c r="F14" t="s">
        <v>20</v>
      </c>
      <c r="G14">
        <v>1</v>
      </c>
      <c r="H14">
        <v>171</v>
      </c>
      <c r="I14" t="s">
        <v>17</v>
      </c>
      <c r="J14">
        <v>0.6</v>
      </c>
      <c r="K14">
        <v>2</v>
      </c>
      <c r="L14">
        <v>0</v>
      </c>
      <c r="M14">
        <v>2</v>
      </c>
      <c r="N14" t="s">
        <v>18</v>
      </c>
    </row>
    <row r="15" spans="1:14" hidden="1" x14ac:dyDescent="0.3">
      <c r="A15">
        <v>64</v>
      </c>
      <c r="B15" t="s">
        <v>14</v>
      </c>
      <c r="C15" t="s">
        <v>15</v>
      </c>
      <c r="D15">
        <v>110</v>
      </c>
      <c r="E15">
        <v>211</v>
      </c>
      <c r="F15" t="s">
        <v>20</v>
      </c>
      <c r="G15">
        <v>0</v>
      </c>
      <c r="H15">
        <v>144</v>
      </c>
      <c r="I15" t="s">
        <v>24</v>
      </c>
      <c r="J15">
        <v>1.8</v>
      </c>
      <c r="K15">
        <v>1</v>
      </c>
      <c r="L15">
        <v>0</v>
      </c>
      <c r="M15">
        <v>2</v>
      </c>
      <c r="N15" t="s">
        <v>18</v>
      </c>
    </row>
    <row r="16" spans="1:14" hidden="1" x14ac:dyDescent="0.3">
      <c r="A16">
        <v>58</v>
      </c>
      <c r="B16" t="s">
        <v>21</v>
      </c>
      <c r="C16" t="s">
        <v>15</v>
      </c>
      <c r="D16">
        <v>150</v>
      </c>
      <c r="E16">
        <v>283</v>
      </c>
      <c r="F16" t="s">
        <v>16</v>
      </c>
      <c r="G16">
        <v>0</v>
      </c>
      <c r="H16">
        <v>162</v>
      </c>
      <c r="I16" t="s">
        <v>17</v>
      </c>
      <c r="J16">
        <v>1</v>
      </c>
      <c r="K16">
        <v>2</v>
      </c>
      <c r="L16">
        <v>0</v>
      </c>
      <c r="M16">
        <v>2</v>
      </c>
      <c r="N16" t="s">
        <v>18</v>
      </c>
    </row>
    <row r="17" spans="1:14" hidden="1" x14ac:dyDescent="0.3">
      <c r="A17">
        <v>50</v>
      </c>
      <c r="B17" t="s">
        <v>21</v>
      </c>
      <c r="C17" t="s">
        <v>19</v>
      </c>
      <c r="D17">
        <v>120</v>
      </c>
      <c r="E17">
        <v>219</v>
      </c>
      <c r="F17" t="s">
        <v>20</v>
      </c>
      <c r="G17">
        <v>1</v>
      </c>
      <c r="H17">
        <v>158</v>
      </c>
      <c r="I17" t="s">
        <v>17</v>
      </c>
      <c r="J17">
        <v>1.6</v>
      </c>
      <c r="K17">
        <v>1</v>
      </c>
      <c r="L17">
        <v>0</v>
      </c>
      <c r="M17">
        <v>2</v>
      </c>
      <c r="N17" t="s">
        <v>18</v>
      </c>
    </row>
    <row r="18" spans="1:14" hidden="1" x14ac:dyDescent="0.3">
      <c r="A18">
        <v>58</v>
      </c>
      <c r="B18" t="s">
        <v>21</v>
      </c>
      <c r="C18" t="s">
        <v>19</v>
      </c>
      <c r="D18">
        <v>120</v>
      </c>
      <c r="E18">
        <v>340</v>
      </c>
      <c r="F18" t="s">
        <v>20</v>
      </c>
      <c r="G18">
        <v>1</v>
      </c>
      <c r="H18">
        <v>172</v>
      </c>
      <c r="I18" t="s">
        <v>17</v>
      </c>
      <c r="J18">
        <v>0</v>
      </c>
      <c r="K18">
        <v>2</v>
      </c>
      <c r="L18">
        <v>0</v>
      </c>
      <c r="M18">
        <v>2</v>
      </c>
      <c r="N18" t="s">
        <v>18</v>
      </c>
    </row>
    <row r="19" spans="1:14" hidden="1" x14ac:dyDescent="0.3">
      <c r="A19">
        <v>66</v>
      </c>
      <c r="B19" t="s">
        <v>21</v>
      </c>
      <c r="C19" t="s">
        <v>15</v>
      </c>
      <c r="D19">
        <v>150</v>
      </c>
      <c r="E19">
        <v>226</v>
      </c>
      <c r="F19" t="s">
        <v>20</v>
      </c>
      <c r="G19">
        <v>1</v>
      </c>
      <c r="H19">
        <v>114</v>
      </c>
      <c r="I19" t="s">
        <v>17</v>
      </c>
      <c r="J19">
        <v>2.6</v>
      </c>
      <c r="K19">
        <v>0</v>
      </c>
      <c r="L19">
        <v>0</v>
      </c>
      <c r="M19">
        <v>2</v>
      </c>
      <c r="N19" t="s">
        <v>18</v>
      </c>
    </row>
    <row r="20" spans="1:14" x14ac:dyDescent="0.3">
      <c r="A20">
        <v>43</v>
      </c>
      <c r="B20" t="s">
        <v>14</v>
      </c>
      <c r="C20" t="s">
        <v>23</v>
      </c>
      <c r="D20">
        <v>150</v>
      </c>
      <c r="E20">
        <v>247</v>
      </c>
      <c r="F20" t="s">
        <v>20</v>
      </c>
      <c r="G20">
        <v>1</v>
      </c>
      <c r="H20">
        <v>171</v>
      </c>
      <c r="I20" t="s">
        <v>17</v>
      </c>
      <c r="J20">
        <v>1.5</v>
      </c>
      <c r="K20">
        <v>2</v>
      </c>
      <c r="L20">
        <v>0</v>
      </c>
      <c r="M20">
        <v>2</v>
      </c>
      <c r="N20" t="s">
        <v>18</v>
      </c>
    </row>
    <row r="21" spans="1:14" hidden="1" x14ac:dyDescent="0.3">
      <c r="A21">
        <v>69</v>
      </c>
      <c r="B21" t="s">
        <v>21</v>
      </c>
      <c r="C21" t="s">
        <v>15</v>
      </c>
      <c r="D21">
        <v>140</v>
      </c>
      <c r="E21">
        <v>239</v>
      </c>
      <c r="F21" t="s">
        <v>20</v>
      </c>
      <c r="G21">
        <v>1</v>
      </c>
      <c r="H21">
        <v>151</v>
      </c>
      <c r="I21" t="s">
        <v>17</v>
      </c>
      <c r="J21">
        <v>1.8</v>
      </c>
      <c r="K21">
        <v>2</v>
      </c>
      <c r="L21">
        <v>2</v>
      </c>
      <c r="M21">
        <v>2</v>
      </c>
      <c r="N21" t="s">
        <v>18</v>
      </c>
    </row>
    <row r="22" spans="1:14" x14ac:dyDescent="0.3">
      <c r="A22">
        <v>59</v>
      </c>
      <c r="B22" t="s">
        <v>14</v>
      </c>
      <c r="C22" t="s">
        <v>23</v>
      </c>
      <c r="D22">
        <v>135</v>
      </c>
      <c r="E22">
        <v>234</v>
      </c>
      <c r="F22" t="s">
        <v>20</v>
      </c>
      <c r="G22">
        <v>1</v>
      </c>
      <c r="H22">
        <v>161</v>
      </c>
      <c r="I22" t="s">
        <v>17</v>
      </c>
      <c r="J22">
        <v>0.5</v>
      </c>
      <c r="K22">
        <v>1</v>
      </c>
      <c r="L22">
        <v>0</v>
      </c>
      <c r="M22">
        <v>3</v>
      </c>
      <c r="N22" t="s">
        <v>18</v>
      </c>
    </row>
    <row r="23" spans="1:14" hidden="1" x14ac:dyDescent="0.3">
      <c r="A23">
        <v>44</v>
      </c>
      <c r="B23" t="s">
        <v>14</v>
      </c>
      <c r="C23" t="s">
        <v>19</v>
      </c>
      <c r="D23">
        <v>130</v>
      </c>
      <c r="E23">
        <v>233</v>
      </c>
      <c r="F23" t="s">
        <v>20</v>
      </c>
      <c r="G23">
        <v>1</v>
      </c>
      <c r="H23">
        <v>179</v>
      </c>
      <c r="I23" t="s">
        <v>24</v>
      </c>
      <c r="J23">
        <v>0.4</v>
      </c>
      <c r="K23">
        <v>2</v>
      </c>
      <c r="L23">
        <v>0</v>
      </c>
      <c r="M23">
        <v>2</v>
      </c>
      <c r="N23" t="s">
        <v>18</v>
      </c>
    </row>
    <row r="24" spans="1:14" x14ac:dyDescent="0.3">
      <c r="A24">
        <v>42</v>
      </c>
      <c r="B24" t="s">
        <v>14</v>
      </c>
      <c r="C24" t="s">
        <v>23</v>
      </c>
      <c r="D24">
        <v>140</v>
      </c>
      <c r="E24">
        <v>226</v>
      </c>
      <c r="F24" t="s">
        <v>20</v>
      </c>
      <c r="G24">
        <v>1</v>
      </c>
      <c r="H24">
        <v>178</v>
      </c>
      <c r="I24" t="s">
        <v>17</v>
      </c>
      <c r="J24">
        <v>0</v>
      </c>
      <c r="K24">
        <v>2</v>
      </c>
      <c r="L24">
        <v>0</v>
      </c>
      <c r="M24">
        <v>2</v>
      </c>
      <c r="N24" t="s">
        <v>18</v>
      </c>
    </row>
    <row r="25" spans="1:14" hidden="1" x14ac:dyDescent="0.3">
      <c r="A25">
        <v>61</v>
      </c>
      <c r="B25" t="s">
        <v>14</v>
      </c>
      <c r="C25" t="s">
        <v>19</v>
      </c>
      <c r="D25">
        <v>150</v>
      </c>
      <c r="E25">
        <v>243</v>
      </c>
      <c r="F25" t="s">
        <v>16</v>
      </c>
      <c r="G25">
        <v>1</v>
      </c>
      <c r="H25">
        <v>137</v>
      </c>
      <c r="I25" t="s">
        <v>24</v>
      </c>
      <c r="J25">
        <v>1</v>
      </c>
      <c r="K25">
        <v>1</v>
      </c>
      <c r="L25">
        <v>0</v>
      </c>
      <c r="M25">
        <v>2</v>
      </c>
      <c r="N25" t="s">
        <v>18</v>
      </c>
    </row>
    <row r="26" spans="1:14" hidden="1" x14ac:dyDescent="0.3">
      <c r="A26">
        <v>40</v>
      </c>
      <c r="B26" t="s">
        <v>14</v>
      </c>
      <c r="C26" t="s">
        <v>15</v>
      </c>
      <c r="D26">
        <v>140</v>
      </c>
      <c r="E26">
        <v>199</v>
      </c>
      <c r="F26" t="s">
        <v>20</v>
      </c>
      <c r="G26">
        <v>1</v>
      </c>
      <c r="H26">
        <v>178</v>
      </c>
      <c r="I26" t="s">
        <v>24</v>
      </c>
      <c r="J26">
        <v>1.4</v>
      </c>
      <c r="K26">
        <v>2</v>
      </c>
      <c r="L26">
        <v>0</v>
      </c>
      <c r="M26">
        <v>3</v>
      </c>
      <c r="N26" t="s">
        <v>18</v>
      </c>
    </row>
    <row r="27" spans="1:14" hidden="1" x14ac:dyDescent="0.3">
      <c r="A27">
        <v>71</v>
      </c>
      <c r="B27" t="s">
        <v>21</v>
      </c>
      <c r="C27" t="s">
        <v>22</v>
      </c>
      <c r="D27">
        <v>160</v>
      </c>
      <c r="E27">
        <v>302</v>
      </c>
      <c r="F27" t="s">
        <v>20</v>
      </c>
      <c r="G27">
        <v>1</v>
      </c>
      <c r="H27">
        <v>162</v>
      </c>
      <c r="I27" t="s">
        <v>17</v>
      </c>
      <c r="J27">
        <v>0.4</v>
      </c>
      <c r="K27">
        <v>2</v>
      </c>
      <c r="L27">
        <v>2</v>
      </c>
      <c r="M27">
        <v>2</v>
      </c>
      <c r="N27" t="s">
        <v>18</v>
      </c>
    </row>
    <row r="28" spans="1:14" hidden="1" x14ac:dyDescent="0.3">
      <c r="A28">
        <v>59</v>
      </c>
      <c r="B28" t="s">
        <v>14</v>
      </c>
      <c r="C28" t="s">
        <v>19</v>
      </c>
      <c r="D28">
        <v>150</v>
      </c>
      <c r="E28">
        <v>212</v>
      </c>
      <c r="F28" t="s">
        <v>16</v>
      </c>
      <c r="G28">
        <v>1</v>
      </c>
      <c r="H28">
        <v>157</v>
      </c>
      <c r="I28" t="s">
        <v>17</v>
      </c>
      <c r="J28">
        <v>1.6</v>
      </c>
      <c r="K28">
        <v>2</v>
      </c>
      <c r="L28">
        <v>0</v>
      </c>
      <c r="M28">
        <v>2</v>
      </c>
      <c r="N28" t="s">
        <v>18</v>
      </c>
    </row>
    <row r="29" spans="1:14" hidden="1" x14ac:dyDescent="0.3">
      <c r="A29">
        <v>51</v>
      </c>
      <c r="B29" t="s">
        <v>14</v>
      </c>
      <c r="C29" t="s">
        <v>19</v>
      </c>
      <c r="D29">
        <v>110</v>
      </c>
      <c r="E29">
        <v>175</v>
      </c>
      <c r="F29" t="s">
        <v>20</v>
      </c>
      <c r="G29">
        <v>1</v>
      </c>
      <c r="H29">
        <v>123</v>
      </c>
      <c r="I29" t="s">
        <v>17</v>
      </c>
      <c r="J29">
        <v>0.6</v>
      </c>
      <c r="K29">
        <v>2</v>
      </c>
      <c r="L29">
        <v>0</v>
      </c>
      <c r="M29">
        <v>2</v>
      </c>
      <c r="N29" t="s">
        <v>18</v>
      </c>
    </row>
    <row r="30" spans="1:14" hidden="1" x14ac:dyDescent="0.3">
      <c r="A30">
        <v>65</v>
      </c>
      <c r="B30" t="s">
        <v>21</v>
      </c>
      <c r="C30" t="s">
        <v>19</v>
      </c>
      <c r="D30">
        <v>140</v>
      </c>
      <c r="E30">
        <v>417</v>
      </c>
      <c r="F30" t="s">
        <v>16</v>
      </c>
      <c r="G30">
        <v>0</v>
      </c>
      <c r="H30">
        <v>157</v>
      </c>
      <c r="I30" t="s">
        <v>17</v>
      </c>
      <c r="J30">
        <v>0.8</v>
      </c>
      <c r="K30">
        <v>2</v>
      </c>
      <c r="L30">
        <v>1</v>
      </c>
      <c r="M30">
        <v>2</v>
      </c>
      <c r="N30" t="s">
        <v>18</v>
      </c>
    </row>
    <row r="31" spans="1:14" hidden="1" x14ac:dyDescent="0.3">
      <c r="A31">
        <v>53</v>
      </c>
      <c r="B31" t="s">
        <v>14</v>
      </c>
      <c r="C31" t="s">
        <v>19</v>
      </c>
      <c r="D31">
        <v>130</v>
      </c>
      <c r="E31">
        <v>197</v>
      </c>
      <c r="F31" t="s">
        <v>16</v>
      </c>
      <c r="G31">
        <v>0</v>
      </c>
      <c r="H31">
        <v>152</v>
      </c>
      <c r="I31" t="s">
        <v>17</v>
      </c>
      <c r="J31">
        <v>1.2</v>
      </c>
      <c r="K31">
        <v>0</v>
      </c>
      <c r="L31">
        <v>0</v>
      </c>
      <c r="M31">
        <v>2</v>
      </c>
      <c r="N31" t="s">
        <v>18</v>
      </c>
    </row>
    <row r="32" spans="1:14" hidden="1" x14ac:dyDescent="0.3">
      <c r="A32">
        <v>41</v>
      </c>
      <c r="B32" t="s">
        <v>21</v>
      </c>
      <c r="C32" t="s">
        <v>22</v>
      </c>
      <c r="D32">
        <v>105</v>
      </c>
      <c r="E32">
        <v>198</v>
      </c>
      <c r="F32" t="s">
        <v>20</v>
      </c>
      <c r="G32">
        <v>1</v>
      </c>
      <c r="H32">
        <v>168</v>
      </c>
      <c r="I32" t="s">
        <v>17</v>
      </c>
      <c r="J32">
        <v>0</v>
      </c>
      <c r="K32">
        <v>2</v>
      </c>
      <c r="L32">
        <v>1</v>
      </c>
      <c r="M32">
        <v>2</v>
      </c>
      <c r="N32" t="s">
        <v>18</v>
      </c>
    </row>
    <row r="33" spans="1:14" x14ac:dyDescent="0.3">
      <c r="A33">
        <v>65</v>
      </c>
      <c r="B33" t="s">
        <v>14</v>
      </c>
      <c r="C33" t="s">
        <v>23</v>
      </c>
      <c r="D33">
        <v>120</v>
      </c>
      <c r="E33">
        <v>177</v>
      </c>
      <c r="F33" t="s">
        <v>20</v>
      </c>
      <c r="G33">
        <v>1</v>
      </c>
      <c r="H33">
        <v>140</v>
      </c>
      <c r="I33" t="s">
        <v>17</v>
      </c>
      <c r="J33">
        <v>0.4</v>
      </c>
      <c r="K33">
        <v>2</v>
      </c>
      <c r="L33">
        <v>0</v>
      </c>
      <c r="M33">
        <v>3</v>
      </c>
      <c r="N33" t="s">
        <v>18</v>
      </c>
    </row>
    <row r="34" spans="1:14" hidden="1" x14ac:dyDescent="0.3">
      <c r="A34">
        <v>44</v>
      </c>
      <c r="B34" t="s">
        <v>14</v>
      </c>
      <c r="C34" t="s">
        <v>22</v>
      </c>
      <c r="D34">
        <v>130</v>
      </c>
      <c r="E34">
        <v>219</v>
      </c>
      <c r="F34" t="s">
        <v>20</v>
      </c>
      <c r="G34">
        <v>0</v>
      </c>
      <c r="H34">
        <v>188</v>
      </c>
      <c r="I34" t="s">
        <v>17</v>
      </c>
      <c r="J34">
        <v>0</v>
      </c>
      <c r="K34">
        <v>2</v>
      </c>
      <c r="L34">
        <v>0</v>
      </c>
      <c r="M34">
        <v>2</v>
      </c>
      <c r="N34" t="s">
        <v>18</v>
      </c>
    </row>
    <row r="35" spans="1:14" hidden="1" x14ac:dyDescent="0.3">
      <c r="A35">
        <v>54</v>
      </c>
      <c r="B35" t="s">
        <v>14</v>
      </c>
      <c r="C35" t="s">
        <v>19</v>
      </c>
      <c r="D35">
        <v>125</v>
      </c>
      <c r="E35">
        <v>273</v>
      </c>
      <c r="F35" t="s">
        <v>20</v>
      </c>
      <c r="G35">
        <v>0</v>
      </c>
      <c r="H35">
        <v>152</v>
      </c>
      <c r="I35" t="s">
        <v>17</v>
      </c>
      <c r="J35">
        <v>0.5</v>
      </c>
      <c r="K35">
        <v>0</v>
      </c>
      <c r="L35">
        <v>1</v>
      </c>
      <c r="M35">
        <v>2</v>
      </c>
      <c r="N35" t="s">
        <v>18</v>
      </c>
    </row>
    <row r="36" spans="1:14" hidden="1" x14ac:dyDescent="0.3">
      <c r="A36">
        <v>51</v>
      </c>
      <c r="B36" t="s">
        <v>14</v>
      </c>
      <c r="C36" t="s">
        <v>15</v>
      </c>
      <c r="D36">
        <v>125</v>
      </c>
      <c r="E36">
        <v>213</v>
      </c>
      <c r="F36" t="s">
        <v>20</v>
      </c>
      <c r="G36">
        <v>0</v>
      </c>
      <c r="H36">
        <v>125</v>
      </c>
      <c r="I36" t="s">
        <v>24</v>
      </c>
      <c r="J36">
        <v>1.4</v>
      </c>
      <c r="K36">
        <v>2</v>
      </c>
      <c r="L36">
        <v>1</v>
      </c>
      <c r="M36">
        <v>2</v>
      </c>
      <c r="N36" t="s">
        <v>18</v>
      </c>
    </row>
    <row r="37" spans="1:14" hidden="1" x14ac:dyDescent="0.3">
      <c r="A37">
        <v>46</v>
      </c>
      <c r="B37" t="s">
        <v>21</v>
      </c>
      <c r="C37" t="s">
        <v>19</v>
      </c>
      <c r="D37">
        <v>142</v>
      </c>
      <c r="E37">
        <v>177</v>
      </c>
      <c r="F37" t="s">
        <v>20</v>
      </c>
      <c r="G37">
        <v>0</v>
      </c>
      <c r="H37">
        <v>160</v>
      </c>
      <c r="I37" t="s">
        <v>24</v>
      </c>
      <c r="J37">
        <v>1.4</v>
      </c>
      <c r="K37">
        <v>0</v>
      </c>
      <c r="L37">
        <v>0</v>
      </c>
      <c r="M37">
        <v>2</v>
      </c>
      <c r="N37" t="s">
        <v>18</v>
      </c>
    </row>
    <row r="38" spans="1:14" hidden="1" x14ac:dyDescent="0.3">
      <c r="A38">
        <v>54</v>
      </c>
      <c r="B38" t="s">
        <v>21</v>
      </c>
      <c r="C38" t="s">
        <v>19</v>
      </c>
      <c r="D38">
        <v>135</v>
      </c>
      <c r="E38">
        <v>304</v>
      </c>
      <c r="F38" t="s">
        <v>16</v>
      </c>
      <c r="G38">
        <v>1</v>
      </c>
      <c r="H38">
        <v>170</v>
      </c>
      <c r="I38" t="s">
        <v>17</v>
      </c>
      <c r="J38">
        <v>0</v>
      </c>
      <c r="K38">
        <v>2</v>
      </c>
      <c r="L38">
        <v>0</v>
      </c>
      <c r="M38">
        <v>2</v>
      </c>
      <c r="N38" t="s">
        <v>18</v>
      </c>
    </row>
    <row r="39" spans="1:14" hidden="1" x14ac:dyDescent="0.3">
      <c r="A39">
        <v>54</v>
      </c>
      <c r="B39" t="s">
        <v>14</v>
      </c>
      <c r="C39" t="s">
        <v>19</v>
      </c>
      <c r="D39">
        <v>150</v>
      </c>
      <c r="E39">
        <v>232</v>
      </c>
      <c r="F39" t="s">
        <v>20</v>
      </c>
      <c r="G39">
        <v>0</v>
      </c>
      <c r="H39">
        <v>165</v>
      </c>
      <c r="I39" t="s">
        <v>17</v>
      </c>
      <c r="J39">
        <v>1.6</v>
      </c>
      <c r="K39">
        <v>2</v>
      </c>
      <c r="L39">
        <v>0</v>
      </c>
      <c r="M39">
        <v>3</v>
      </c>
      <c r="N39" t="s">
        <v>18</v>
      </c>
    </row>
    <row r="40" spans="1:14" hidden="1" x14ac:dyDescent="0.3">
      <c r="A40">
        <v>65</v>
      </c>
      <c r="B40" t="s">
        <v>21</v>
      </c>
      <c r="C40" t="s">
        <v>19</v>
      </c>
      <c r="D40">
        <v>155</v>
      </c>
      <c r="E40">
        <v>269</v>
      </c>
      <c r="F40" t="s">
        <v>20</v>
      </c>
      <c r="G40">
        <v>1</v>
      </c>
      <c r="H40">
        <v>148</v>
      </c>
      <c r="I40" t="s">
        <v>17</v>
      </c>
      <c r="J40">
        <v>0.8</v>
      </c>
      <c r="K40">
        <v>2</v>
      </c>
      <c r="L40">
        <v>0</v>
      </c>
      <c r="M40">
        <v>2</v>
      </c>
      <c r="N40" t="s">
        <v>18</v>
      </c>
    </row>
    <row r="41" spans="1:14" hidden="1" x14ac:dyDescent="0.3">
      <c r="A41">
        <v>65</v>
      </c>
      <c r="B41" t="s">
        <v>21</v>
      </c>
      <c r="C41" t="s">
        <v>19</v>
      </c>
      <c r="D41">
        <v>160</v>
      </c>
      <c r="E41">
        <v>360</v>
      </c>
      <c r="F41" t="s">
        <v>20</v>
      </c>
      <c r="G41">
        <v>0</v>
      </c>
      <c r="H41">
        <v>151</v>
      </c>
      <c r="I41" t="s">
        <v>17</v>
      </c>
      <c r="J41">
        <v>0.8</v>
      </c>
      <c r="K41">
        <v>2</v>
      </c>
      <c r="L41">
        <v>0</v>
      </c>
      <c r="M41">
        <v>2</v>
      </c>
      <c r="N41" t="s">
        <v>18</v>
      </c>
    </row>
    <row r="42" spans="1:14" hidden="1" x14ac:dyDescent="0.3">
      <c r="A42">
        <v>51</v>
      </c>
      <c r="B42" t="s">
        <v>21</v>
      </c>
      <c r="C42" t="s">
        <v>19</v>
      </c>
      <c r="D42">
        <v>140</v>
      </c>
      <c r="E42">
        <v>308</v>
      </c>
      <c r="F42" t="s">
        <v>20</v>
      </c>
      <c r="G42">
        <v>0</v>
      </c>
      <c r="H42">
        <v>142</v>
      </c>
      <c r="I42" t="s">
        <v>17</v>
      </c>
      <c r="J42">
        <v>1.5</v>
      </c>
      <c r="K42">
        <v>2</v>
      </c>
      <c r="L42">
        <v>1</v>
      </c>
      <c r="M42">
        <v>2</v>
      </c>
      <c r="N42" t="s">
        <v>18</v>
      </c>
    </row>
    <row r="43" spans="1:14" hidden="1" x14ac:dyDescent="0.3">
      <c r="A43">
        <v>48</v>
      </c>
      <c r="B43" t="s">
        <v>14</v>
      </c>
      <c r="C43" t="s">
        <v>22</v>
      </c>
      <c r="D43">
        <v>130</v>
      </c>
      <c r="E43">
        <v>245</v>
      </c>
      <c r="F43" t="s">
        <v>20</v>
      </c>
      <c r="G43">
        <v>0</v>
      </c>
      <c r="H43">
        <v>180</v>
      </c>
      <c r="I43" t="s">
        <v>17</v>
      </c>
      <c r="J43">
        <v>0.2</v>
      </c>
      <c r="K43">
        <v>1</v>
      </c>
      <c r="L43">
        <v>0</v>
      </c>
      <c r="M43">
        <v>2</v>
      </c>
      <c r="N43" t="s">
        <v>18</v>
      </c>
    </row>
    <row r="44" spans="1:14" x14ac:dyDescent="0.3">
      <c r="A44">
        <v>45</v>
      </c>
      <c r="B44" t="s">
        <v>14</v>
      </c>
      <c r="C44" t="s">
        <v>23</v>
      </c>
      <c r="D44">
        <v>104</v>
      </c>
      <c r="E44">
        <v>208</v>
      </c>
      <c r="F44" t="s">
        <v>20</v>
      </c>
      <c r="G44">
        <v>0</v>
      </c>
      <c r="H44">
        <v>148</v>
      </c>
      <c r="I44" t="s">
        <v>24</v>
      </c>
      <c r="J44">
        <v>3</v>
      </c>
      <c r="K44">
        <v>1</v>
      </c>
      <c r="L44">
        <v>0</v>
      </c>
      <c r="M44">
        <v>2</v>
      </c>
      <c r="N44" t="s">
        <v>18</v>
      </c>
    </row>
    <row r="45" spans="1:14" x14ac:dyDescent="0.3">
      <c r="A45">
        <v>53</v>
      </c>
      <c r="B45" t="s">
        <v>21</v>
      </c>
      <c r="C45" t="s">
        <v>23</v>
      </c>
      <c r="D45">
        <v>130</v>
      </c>
      <c r="E45">
        <v>264</v>
      </c>
      <c r="F45" t="s">
        <v>20</v>
      </c>
      <c r="G45">
        <v>0</v>
      </c>
      <c r="H45">
        <v>143</v>
      </c>
      <c r="I45" t="s">
        <v>17</v>
      </c>
      <c r="J45">
        <v>0.4</v>
      </c>
      <c r="K45">
        <v>1</v>
      </c>
      <c r="L45">
        <v>0</v>
      </c>
      <c r="M45">
        <v>2</v>
      </c>
      <c r="N45" t="s">
        <v>18</v>
      </c>
    </row>
    <row r="46" spans="1:14" hidden="1" x14ac:dyDescent="0.3">
      <c r="A46">
        <v>39</v>
      </c>
      <c r="B46" t="s">
        <v>14</v>
      </c>
      <c r="C46" t="s">
        <v>19</v>
      </c>
      <c r="D46">
        <v>140</v>
      </c>
      <c r="E46">
        <v>321</v>
      </c>
      <c r="F46" t="s">
        <v>20</v>
      </c>
      <c r="G46">
        <v>0</v>
      </c>
      <c r="H46">
        <v>182</v>
      </c>
      <c r="I46" t="s">
        <v>17</v>
      </c>
      <c r="J46">
        <v>0</v>
      </c>
      <c r="K46">
        <v>2</v>
      </c>
      <c r="L46">
        <v>0</v>
      </c>
      <c r="M46">
        <v>2</v>
      </c>
      <c r="N46" t="s">
        <v>18</v>
      </c>
    </row>
    <row r="47" spans="1:14" hidden="1" x14ac:dyDescent="0.3">
      <c r="A47">
        <v>52</v>
      </c>
      <c r="B47" t="s">
        <v>14</v>
      </c>
      <c r="C47" t="s">
        <v>22</v>
      </c>
      <c r="D47">
        <v>120</v>
      </c>
      <c r="E47">
        <v>325</v>
      </c>
      <c r="F47" t="s">
        <v>20</v>
      </c>
      <c r="G47">
        <v>1</v>
      </c>
      <c r="H47">
        <v>172</v>
      </c>
      <c r="I47" t="s">
        <v>17</v>
      </c>
      <c r="J47">
        <v>0.2</v>
      </c>
      <c r="K47">
        <v>2</v>
      </c>
      <c r="L47">
        <v>0</v>
      </c>
      <c r="M47">
        <v>2</v>
      </c>
      <c r="N47" t="s">
        <v>18</v>
      </c>
    </row>
    <row r="48" spans="1:14" hidden="1" x14ac:dyDescent="0.3">
      <c r="A48">
        <v>44</v>
      </c>
      <c r="B48" t="s">
        <v>14</v>
      </c>
      <c r="C48" t="s">
        <v>19</v>
      </c>
      <c r="D48">
        <v>140</v>
      </c>
      <c r="E48">
        <v>235</v>
      </c>
      <c r="F48" t="s">
        <v>20</v>
      </c>
      <c r="G48">
        <v>0</v>
      </c>
      <c r="H48">
        <v>180</v>
      </c>
      <c r="I48" t="s">
        <v>17</v>
      </c>
      <c r="J48">
        <v>0</v>
      </c>
      <c r="K48">
        <v>2</v>
      </c>
      <c r="L48">
        <v>0</v>
      </c>
      <c r="M48">
        <v>2</v>
      </c>
      <c r="N48" t="s">
        <v>18</v>
      </c>
    </row>
    <row r="49" spans="1:14" hidden="1" x14ac:dyDescent="0.3">
      <c r="A49">
        <v>47</v>
      </c>
      <c r="B49" t="s">
        <v>14</v>
      </c>
      <c r="C49" t="s">
        <v>19</v>
      </c>
      <c r="D49">
        <v>138</v>
      </c>
      <c r="E49">
        <v>257</v>
      </c>
      <c r="F49" t="s">
        <v>20</v>
      </c>
      <c r="G49">
        <v>0</v>
      </c>
      <c r="H49">
        <v>156</v>
      </c>
      <c r="I49" t="s">
        <v>17</v>
      </c>
      <c r="J49">
        <v>0</v>
      </c>
      <c r="K49">
        <v>2</v>
      </c>
      <c r="L49">
        <v>0</v>
      </c>
      <c r="M49">
        <v>2</v>
      </c>
      <c r="N49" t="s">
        <v>18</v>
      </c>
    </row>
    <row r="50" spans="1:14" hidden="1" x14ac:dyDescent="0.3">
      <c r="A50">
        <v>53</v>
      </c>
      <c r="B50" t="s">
        <v>21</v>
      </c>
      <c r="C50" t="s">
        <v>19</v>
      </c>
      <c r="D50">
        <v>128</v>
      </c>
      <c r="E50">
        <v>216</v>
      </c>
      <c r="F50" t="s">
        <v>20</v>
      </c>
      <c r="G50">
        <v>0</v>
      </c>
      <c r="H50">
        <v>115</v>
      </c>
      <c r="I50" t="s">
        <v>17</v>
      </c>
      <c r="J50">
        <v>0</v>
      </c>
      <c r="K50">
        <v>2</v>
      </c>
      <c r="L50">
        <v>0</v>
      </c>
      <c r="M50">
        <v>0</v>
      </c>
      <c r="N50" t="s">
        <v>18</v>
      </c>
    </row>
    <row r="51" spans="1:14" x14ac:dyDescent="0.3">
      <c r="A51">
        <v>53</v>
      </c>
      <c r="B51" t="s">
        <v>21</v>
      </c>
      <c r="C51" t="s">
        <v>23</v>
      </c>
      <c r="D51">
        <v>138</v>
      </c>
      <c r="E51">
        <v>234</v>
      </c>
      <c r="F51" t="s">
        <v>20</v>
      </c>
      <c r="G51">
        <v>0</v>
      </c>
      <c r="H51">
        <v>160</v>
      </c>
      <c r="I51" t="s">
        <v>17</v>
      </c>
      <c r="J51">
        <v>0</v>
      </c>
      <c r="K51">
        <v>2</v>
      </c>
      <c r="L51">
        <v>0</v>
      </c>
      <c r="M51">
        <v>2</v>
      </c>
      <c r="N51" t="s">
        <v>18</v>
      </c>
    </row>
    <row r="52" spans="1:14" hidden="1" x14ac:dyDescent="0.3">
      <c r="A52">
        <v>51</v>
      </c>
      <c r="B52" t="s">
        <v>21</v>
      </c>
      <c r="C52" t="s">
        <v>19</v>
      </c>
      <c r="D52">
        <v>130</v>
      </c>
      <c r="E52">
        <v>256</v>
      </c>
      <c r="F52" t="s">
        <v>20</v>
      </c>
      <c r="G52">
        <v>0</v>
      </c>
      <c r="H52">
        <v>149</v>
      </c>
      <c r="I52" t="s">
        <v>17</v>
      </c>
      <c r="J52">
        <v>0.5</v>
      </c>
      <c r="K52">
        <v>2</v>
      </c>
      <c r="L52">
        <v>0</v>
      </c>
      <c r="M52">
        <v>2</v>
      </c>
      <c r="N52" t="s">
        <v>18</v>
      </c>
    </row>
    <row r="53" spans="1:14" x14ac:dyDescent="0.3">
      <c r="A53">
        <v>66</v>
      </c>
      <c r="B53" t="s">
        <v>14</v>
      </c>
      <c r="C53" t="s">
        <v>23</v>
      </c>
      <c r="D53">
        <v>120</v>
      </c>
      <c r="E53">
        <v>302</v>
      </c>
      <c r="F53" t="s">
        <v>20</v>
      </c>
      <c r="G53">
        <v>0</v>
      </c>
      <c r="H53">
        <v>151</v>
      </c>
      <c r="I53" t="s">
        <v>17</v>
      </c>
      <c r="J53">
        <v>0.4</v>
      </c>
      <c r="K53">
        <v>1</v>
      </c>
      <c r="L53">
        <v>0</v>
      </c>
      <c r="M53">
        <v>2</v>
      </c>
      <c r="N53" t="s">
        <v>18</v>
      </c>
    </row>
    <row r="54" spans="1:14" hidden="1" x14ac:dyDescent="0.3">
      <c r="A54">
        <v>62</v>
      </c>
      <c r="B54" t="s">
        <v>14</v>
      </c>
      <c r="C54" t="s">
        <v>19</v>
      </c>
      <c r="D54">
        <v>130</v>
      </c>
      <c r="E54">
        <v>231</v>
      </c>
      <c r="F54" t="s">
        <v>20</v>
      </c>
      <c r="G54">
        <v>1</v>
      </c>
      <c r="H54">
        <v>146</v>
      </c>
      <c r="I54" t="s">
        <v>17</v>
      </c>
      <c r="J54">
        <v>1.8</v>
      </c>
      <c r="K54">
        <v>1</v>
      </c>
      <c r="L54">
        <v>3</v>
      </c>
      <c r="M54">
        <v>3</v>
      </c>
      <c r="N54" t="s">
        <v>18</v>
      </c>
    </row>
    <row r="55" spans="1:14" hidden="1" x14ac:dyDescent="0.3">
      <c r="A55">
        <v>44</v>
      </c>
      <c r="B55" t="s">
        <v>21</v>
      </c>
      <c r="C55" t="s">
        <v>19</v>
      </c>
      <c r="D55">
        <v>108</v>
      </c>
      <c r="E55">
        <v>141</v>
      </c>
      <c r="F55" t="s">
        <v>20</v>
      </c>
      <c r="G55">
        <v>1</v>
      </c>
      <c r="H55">
        <v>175</v>
      </c>
      <c r="I55" t="s">
        <v>17</v>
      </c>
      <c r="J55">
        <v>0.6</v>
      </c>
      <c r="K55">
        <v>1</v>
      </c>
      <c r="L55">
        <v>0</v>
      </c>
      <c r="M55">
        <v>2</v>
      </c>
      <c r="N55" t="s">
        <v>18</v>
      </c>
    </row>
    <row r="56" spans="1:14" hidden="1" x14ac:dyDescent="0.3">
      <c r="A56">
        <v>63</v>
      </c>
      <c r="B56" t="s">
        <v>21</v>
      </c>
      <c r="C56" t="s">
        <v>19</v>
      </c>
      <c r="D56">
        <v>135</v>
      </c>
      <c r="E56">
        <v>252</v>
      </c>
      <c r="F56" t="s">
        <v>20</v>
      </c>
      <c r="G56">
        <v>0</v>
      </c>
      <c r="H56">
        <v>172</v>
      </c>
      <c r="I56" t="s">
        <v>17</v>
      </c>
      <c r="J56">
        <v>0</v>
      </c>
      <c r="K56">
        <v>2</v>
      </c>
      <c r="L56">
        <v>0</v>
      </c>
      <c r="M56">
        <v>2</v>
      </c>
      <c r="N56" t="s">
        <v>18</v>
      </c>
    </row>
    <row r="57" spans="1:14" hidden="1" x14ac:dyDescent="0.3">
      <c r="A57">
        <v>52</v>
      </c>
      <c r="B57" t="s">
        <v>14</v>
      </c>
      <c r="C57" t="s">
        <v>22</v>
      </c>
      <c r="D57">
        <v>134</v>
      </c>
      <c r="E57">
        <v>201</v>
      </c>
      <c r="F57" t="s">
        <v>20</v>
      </c>
      <c r="G57">
        <v>1</v>
      </c>
      <c r="H57">
        <v>158</v>
      </c>
      <c r="I57" t="s">
        <v>17</v>
      </c>
      <c r="J57">
        <v>0.8</v>
      </c>
      <c r="K57">
        <v>2</v>
      </c>
      <c r="L57">
        <v>1</v>
      </c>
      <c r="M57">
        <v>2</v>
      </c>
      <c r="N57" t="s">
        <v>18</v>
      </c>
    </row>
    <row r="58" spans="1:14" x14ac:dyDescent="0.3">
      <c r="A58">
        <v>48</v>
      </c>
      <c r="B58" t="s">
        <v>14</v>
      </c>
      <c r="C58" t="s">
        <v>23</v>
      </c>
      <c r="D58">
        <v>122</v>
      </c>
      <c r="E58">
        <v>222</v>
      </c>
      <c r="F58" t="s">
        <v>20</v>
      </c>
      <c r="G58">
        <v>0</v>
      </c>
      <c r="H58">
        <v>186</v>
      </c>
      <c r="I58" t="s">
        <v>17</v>
      </c>
      <c r="J58">
        <v>0</v>
      </c>
      <c r="K58">
        <v>2</v>
      </c>
      <c r="L58">
        <v>0</v>
      </c>
      <c r="M58">
        <v>2</v>
      </c>
      <c r="N58" t="s">
        <v>18</v>
      </c>
    </row>
    <row r="59" spans="1:14" x14ac:dyDescent="0.3">
      <c r="A59">
        <v>45</v>
      </c>
      <c r="B59" t="s">
        <v>14</v>
      </c>
      <c r="C59" t="s">
        <v>23</v>
      </c>
      <c r="D59">
        <v>115</v>
      </c>
      <c r="E59">
        <v>260</v>
      </c>
      <c r="F59" t="s">
        <v>20</v>
      </c>
      <c r="G59">
        <v>0</v>
      </c>
      <c r="H59">
        <v>185</v>
      </c>
      <c r="I59" t="s">
        <v>17</v>
      </c>
      <c r="J59">
        <v>0</v>
      </c>
      <c r="K59">
        <v>2</v>
      </c>
      <c r="L59">
        <v>0</v>
      </c>
      <c r="M59">
        <v>2</v>
      </c>
      <c r="N59" t="s">
        <v>18</v>
      </c>
    </row>
    <row r="60" spans="1:14" hidden="1" x14ac:dyDescent="0.3">
      <c r="A60">
        <v>34</v>
      </c>
      <c r="B60" t="s">
        <v>14</v>
      </c>
      <c r="C60" t="s">
        <v>15</v>
      </c>
      <c r="D60">
        <v>118</v>
      </c>
      <c r="E60">
        <v>182</v>
      </c>
      <c r="F60" t="s">
        <v>20</v>
      </c>
      <c r="G60">
        <v>0</v>
      </c>
      <c r="H60">
        <v>174</v>
      </c>
      <c r="I60" t="s">
        <v>17</v>
      </c>
      <c r="J60">
        <v>0</v>
      </c>
      <c r="K60">
        <v>2</v>
      </c>
      <c r="L60">
        <v>0</v>
      </c>
      <c r="M60">
        <v>2</v>
      </c>
      <c r="N60" t="s">
        <v>18</v>
      </c>
    </row>
    <row r="61" spans="1:14" x14ac:dyDescent="0.3">
      <c r="A61">
        <v>57</v>
      </c>
      <c r="B61" t="s">
        <v>21</v>
      </c>
      <c r="C61" t="s">
        <v>23</v>
      </c>
      <c r="D61">
        <v>128</v>
      </c>
      <c r="E61">
        <v>303</v>
      </c>
      <c r="F61" t="s">
        <v>20</v>
      </c>
      <c r="G61">
        <v>0</v>
      </c>
      <c r="H61">
        <v>159</v>
      </c>
      <c r="I61" t="s">
        <v>17</v>
      </c>
      <c r="J61">
        <v>0</v>
      </c>
      <c r="K61">
        <v>2</v>
      </c>
      <c r="L61">
        <v>1</v>
      </c>
      <c r="M61">
        <v>2</v>
      </c>
      <c r="N61" t="s">
        <v>18</v>
      </c>
    </row>
    <row r="62" spans="1:14" hidden="1" x14ac:dyDescent="0.3">
      <c r="A62">
        <v>71</v>
      </c>
      <c r="B62" t="s">
        <v>21</v>
      </c>
      <c r="C62" t="s">
        <v>19</v>
      </c>
      <c r="D62">
        <v>110</v>
      </c>
      <c r="E62">
        <v>265</v>
      </c>
      <c r="F62" t="s">
        <v>16</v>
      </c>
      <c r="G62">
        <v>0</v>
      </c>
      <c r="H62">
        <v>130</v>
      </c>
      <c r="I62" t="s">
        <v>17</v>
      </c>
      <c r="J62">
        <v>0</v>
      </c>
      <c r="K62">
        <v>2</v>
      </c>
      <c r="L62">
        <v>1</v>
      </c>
      <c r="M62">
        <v>2</v>
      </c>
      <c r="N62" t="s">
        <v>18</v>
      </c>
    </row>
    <row r="63" spans="1:14" hidden="1" x14ac:dyDescent="0.3">
      <c r="A63">
        <v>54</v>
      </c>
      <c r="B63" t="s">
        <v>14</v>
      </c>
      <c r="C63" t="s">
        <v>22</v>
      </c>
      <c r="D63">
        <v>108</v>
      </c>
      <c r="E63">
        <v>309</v>
      </c>
      <c r="F63" t="s">
        <v>20</v>
      </c>
      <c r="G63">
        <v>1</v>
      </c>
      <c r="H63">
        <v>156</v>
      </c>
      <c r="I63" t="s">
        <v>17</v>
      </c>
      <c r="J63">
        <v>0</v>
      </c>
      <c r="K63">
        <v>2</v>
      </c>
      <c r="L63">
        <v>0</v>
      </c>
      <c r="M63">
        <v>3</v>
      </c>
      <c r="N63" t="s">
        <v>18</v>
      </c>
    </row>
    <row r="64" spans="1:14" hidden="1" x14ac:dyDescent="0.3">
      <c r="A64">
        <v>52</v>
      </c>
      <c r="B64" t="s">
        <v>14</v>
      </c>
      <c r="C64" t="s">
        <v>15</v>
      </c>
      <c r="D64">
        <v>118</v>
      </c>
      <c r="E64">
        <v>186</v>
      </c>
      <c r="F64" t="s">
        <v>20</v>
      </c>
      <c r="G64">
        <v>0</v>
      </c>
      <c r="H64">
        <v>190</v>
      </c>
      <c r="I64" t="s">
        <v>17</v>
      </c>
      <c r="J64">
        <v>0</v>
      </c>
      <c r="K64">
        <v>1</v>
      </c>
      <c r="L64">
        <v>0</v>
      </c>
      <c r="M64">
        <v>1</v>
      </c>
      <c r="N64" t="s">
        <v>18</v>
      </c>
    </row>
    <row r="65" spans="1:14" hidden="1" x14ac:dyDescent="0.3">
      <c r="A65">
        <v>41</v>
      </c>
      <c r="B65" t="s">
        <v>14</v>
      </c>
      <c r="C65" t="s">
        <v>22</v>
      </c>
      <c r="D65">
        <v>135</v>
      </c>
      <c r="E65">
        <v>203</v>
      </c>
      <c r="F65" t="s">
        <v>20</v>
      </c>
      <c r="G65">
        <v>1</v>
      </c>
      <c r="H65">
        <v>132</v>
      </c>
      <c r="I65" t="s">
        <v>17</v>
      </c>
      <c r="J65">
        <v>0</v>
      </c>
      <c r="K65">
        <v>1</v>
      </c>
      <c r="L65">
        <v>0</v>
      </c>
      <c r="M65">
        <v>1</v>
      </c>
      <c r="N65" t="s">
        <v>18</v>
      </c>
    </row>
    <row r="66" spans="1:14" hidden="1" x14ac:dyDescent="0.3">
      <c r="A66">
        <v>58</v>
      </c>
      <c r="B66" t="s">
        <v>14</v>
      </c>
      <c r="C66" t="s">
        <v>19</v>
      </c>
      <c r="D66">
        <v>140</v>
      </c>
      <c r="E66">
        <v>211</v>
      </c>
      <c r="F66" t="s">
        <v>16</v>
      </c>
      <c r="G66">
        <v>0</v>
      </c>
      <c r="H66">
        <v>165</v>
      </c>
      <c r="I66" t="s">
        <v>17</v>
      </c>
      <c r="J66">
        <v>0</v>
      </c>
      <c r="K66">
        <v>2</v>
      </c>
      <c r="L66">
        <v>0</v>
      </c>
      <c r="M66">
        <v>2</v>
      </c>
      <c r="N66" t="s">
        <v>18</v>
      </c>
    </row>
    <row r="67" spans="1:14" x14ac:dyDescent="0.3">
      <c r="A67">
        <v>35</v>
      </c>
      <c r="B67" t="s">
        <v>21</v>
      </c>
      <c r="C67" t="s">
        <v>23</v>
      </c>
      <c r="D67">
        <v>138</v>
      </c>
      <c r="E67">
        <v>183</v>
      </c>
      <c r="F67" t="s">
        <v>20</v>
      </c>
      <c r="G67">
        <v>1</v>
      </c>
      <c r="H67">
        <v>182</v>
      </c>
      <c r="I67" t="s">
        <v>17</v>
      </c>
      <c r="J67">
        <v>1.4</v>
      </c>
      <c r="K67">
        <v>2</v>
      </c>
      <c r="L67">
        <v>0</v>
      </c>
      <c r="M67">
        <v>2</v>
      </c>
      <c r="N67" t="s">
        <v>18</v>
      </c>
    </row>
    <row r="68" spans="1:14" hidden="1" x14ac:dyDescent="0.3">
      <c r="A68">
        <v>51</v>
      </c>
      <c r="B68" t="s">
        <v>14</v>
      </c>
      <c r="C68" t="s">
        <v>19</v>
      </c>
      <c r="D68">
        <v>100</v>
      </c>
      <c r="E68">
        <v>222</v>
      </c>
      <c r="F68" t="s">
        <v>20</v>
      </c>
      <c r="G68">
        <v>1</v>
      </c>
      <c r="H68">
        <v>143</v>
      </c>
      <c r="I68" t="s">
        <v>24</v>
      </c>
      <c r="J68">
        <v>1.2</v>
      </c>
      <c r="K68">
        <v>1</v>
      </c>
      <c r="L68">
        <v>0</v>
      </c>
      <c r="M68">
        <v>2</v>
      </c>
      <c r="N68" t="s">
        <v>18</v>
      </c>
    </row>
    <row r="69" spans="1:14" hidden="1" x14ac:dyDescent="0.3">
      <c r="A69">
        <v>45</v>
      </c>
      <c r="B69" t="s">
        <v>21</v>
      </c>
      <c r="C69" t="s">
        <v>22</v>
      </c>
      <c r="D69">
        <v>130</v>
      </c>
      <c r="E69">
        <v>234</v>
      </c>
      <c r="F69" t="s">
        <v>20</v>
      </c>
      <c r="G69">
        <v>0</v>
      </c>
      <c r="H69">
        <v>175</v>
      </c>
      <c r="I69" t="s">
        <v>17</v>
      </c>
      <c r="J69">
        <v>0.6</v>
      </c>
      <c r="K69">
        <v>1</v>
      </c>
      <c r="L69">
        <v>0</v>
      </c>
      <c r="M69">
        <v>2</v>
      </c>
      <c r="N69" t="s">
        <v>18</v>
      </c>
    </row>
    <row r="70" spans="1:14" hidden="1" x14ac:dyDescent="0.3">
      <c r="A70">
        <v>44</v>
      </c>
      <c r="B70" t="s">
        <v>14</v>
      </c>
      <c r="C70" t="s">
        <v>22</v>
      </c>
      <c r="D70">
        <v>120</v>
      </c>
      <c r="E70">
        <v>220</v>
      </c>
      <c r="F70" t="s">
        <v>20</v>
      </c>
      <c r="G70">
        <v>1</v>
      </c>
      <c r="H70">
        <v>170</v>
      </c>
      <c r="I70" t="s">
        <v>17</v>
      </c>
      <c r="J70">
        <v>0</v>
      </c>
      <c r="K70">
        <v>2</v>
      </c>
      <c r="L70">
        <v>0</v>
      </c>
      <c r="M70">
        <v>2</v>
      </c>
      <c r="N70" t="s">
        <v>18</v>
      </c>
    </row>
    <row r="71" spans="1:14" x14ac:dyDescent="0.3">
      <c r="A71">
        <v>62</v>
      </c>
      <c r="B71" t="s">
        <v>21</v>
      </c>
      <c r="C71" t="s">
        <v>23</v>
      </c>
      <c r="D71">
        <v>124</v>
      </c>
      <c r="E71">
        <v>209</v>
      </c>
      <c r="F71" t="s">
        <v>20</v>
      </c>
      <c r="G71">
        <v>1</v>
      </c>
      <c r="H71">
        <v>163</v>
      </c>
      <c r="I71" t="s">
        <v>17</v>
      </c>
      <c r="J71">
        <v>0</v>
      </c>
      <c r="K71">
        <v>2</v>
      </c>
      <c r="L71">
        <v>0</v>
      </c>
      <c r="M71">
        <v>2</v>
      </c>
      <c r="N71" t="s">
        <v>18</v>
      </c>
    </row>
    <row r="72" spans="1:14" hidden="1" x14ac:dyDescent="0.3">
      <c r="A72">
        <v>54</v>
      </c>
      <c r="B72" t="s">
        <v>14</v>
      </c>
      <c r="C72" t="s">
        <v>19</v>
      </c>
      <c r="D72">
        <v>120</v>
      </c>
      <c r="E72">
        <v>258</v>
      </c>
      <c r="F72" t="s">
        <v>20</v>
      </c>
      <c r="G72">
        <v>0</v>
      </c>
      <c r="H72">
        <v>147</v>
      </c>
      <c r="I72" t="s">
        <v>17</v>
      </c>
      <c r="J72">
        <v>0.4</v>
      </c>
      <c r="K72">
        <v>1</v>
      </c>
      <c r="L72">
        <v>0</v>
      </c>
      <c r="M72">
        <v>3</v>
      </c>
      <c r="N72" t="s">
        <v>18</v>
      </c>
    </row>
    <row r="73" spans="1:14" hidden="1" x14ac:dyDescent="0.3">
      <c r="A73">
        <v>51</v>
      </c>
      <c r="B73" t="s">
        <v>14</v>
      </c>
      <c r="C73" t="s">
        <v>19</v>
      </c>
      <c r="D73">
        <v>94</v>
      </c>
      <c r="E73">
        <v>227</v>
      </c>
      <c r="F73" t="s">
        <v>20</v>
      </c>
      <c r="G73">
        <v>1</v>
      </c>
      <c r="H73">
        <v>154</v>
      </c>
      <c r="I73" t="s">
        <v>24</v>
      </c>
      <c r="J73">
        <v>0</v>
      </c>
      <c r="K73">
        <v>2</v>
      </c>
      <c r="L73">
        <v>1</v>
      </c>
      <c r="M73">
        <v>3</v>
      </c>
      <c r="N73" t="s">
        <v>18</v>
      </c>
    </row>
    <row r="74" spans="1:14" hidden="1" x14ac:dyDescent="0.3">
      <c r="A74">
        <v>29</v>
      </c>
      <c r="B74" t="s">
        <v>14</v>
      </c>
      <c r="C74" t="s">
        <v>22</v>
      </c>
      <c r="D74">
        <v>130</v>
      </c>
      <c r="E74">
        <v>204</v>
      </c>
      <c r="F74" t="s">
        <v>20</v>
      </c>
      <c r="G74">
        <v>0</v>
      </c>
      <c r="H74">
        <v>202</v>
      </c>
      <c r="I74" t="s">
        <v>17</v>
      </c>
      <c r="J74">
        <v>0</v>
      </c>
      <c r="K74">
        <v>2</v>
      </c>
      <c r="L74">
        <v>0</v>
      </c>
      <c r="M74">
        <v>2</v>
      </c>
      <c r="N74" t="s">
        <v>18</v>
      </c>
    </row>
    <row r="75" spans="1:14" x14ac:dyDescent="0.3">
      <c r="A75">
        <v>51</v>
      </c>
      <c r="B75" t="s">
        <v>14</v>
      </c>
      <c r="C75" t="s">
        <v>23</v>
      </c>
      <c r="D75">
        <v>140</v>
      </c>
      <c r="E75">
        <v>261</v>
      </c>
      <c r="F75" t="s">
        <v>20</v>
      </c>
      <c r="G75">
        <v>0</v>
      </c>
      <c r="H75">
        <v>186</v>
      </c>
      <c r="I75" t="s">
        <v>24</v>
      </c>
      <c r="J75">
        <v>0</v>
      </c>
      <c r="K75">
        <v>2</v>
      </c>
      <c r="L75">
        <v>0</v>
      </c>
      <c r="M75">
        <v>2</v>
      </c>
      <c r="N75" t="s">
        <v>18</v>
      </c>
    </row>
    <row r="76" spans="1:14" hidden="1" x14ac:dyDescent="0.3">
      <c r="A76">
        <v>43</v>
      </c>
      <c r="B76" t="s">
        <v>21</v>
      </c>
      <c r="C76" t="s">
        <v>19</v>
      </c>
      <c r="D76">
        <v>122</v>
      </c>
      <c r="E76">
        <v>213</v>
      </c>
      <c r="F76" t="s">
        <v>20</v>
      </c>
      <c r="G76">
        <v>1</v>
      </c>
      <c r="H76">
        <v>165</v>
      </c>
      <c r="I76" t="s">
        <v>17</v>
      </c>
      <c r="J76">
        <v>0.2</v>
      </c>
      <c r="K76">
        <v>1</v>
      </c>
      <c r="L76">
        <v>0</v>
      </c>
      <c r="M76">
        <v>2</v>
      </c>
      <c r="N76" t="s">
        <v>18</v>
      </c>
    </row>
    <row r="77" spans="1:14" hidden="1" x14ac:dyDescent="0.3">
      <c r="A77">
        <v>55</v>
      </c>
      <c r="B77" t="s">
        <v>21</v>
      </c>
      <c r="C77" t="s">
        <v>22</v>
      </c>
      <c r="D77">
        <v>135</v>
      </c>
      <c r="E77">
        <v>250</v>
      </c>
      <c r="F77" t="s">
        <v>20</v>
      </c>
      <c r="G77">
        <v>0</v>
      </c>
      <c r="H77">
        <v>161</v>
      </c>
      <c r="I77" t="s">
        <v>17</v>
      </c>
      <c r="J77">
        <v>1.4</v>
      </c>
      <c r="K77">
        <v>1</v>
      </c>
      <c r="L77">
        <v>0</v>
      </c>
      <c r="M77">
        <v>2</v>
      </c>
      <c r="N77" t="s">
        <v>18</v>
      </c>
    </row>
    <row r="78" spans="1:14" hidden="1" x14ac:dyDescent="0.3">
      <c r="A78">
        <v>51</v>
      </c>
      <c r="B78" t="s">
        <v>14</v>
      </c>
      <c r="C78" t="s">
        <v>19</v>
      </c>
      <c r="D78">
        <v>125</v>
      </c>
      <c r="E78">
        <v>245</v>
      </c>
      <c r="F78" t="s">
        <v>16</v>
      </c>
      <c r="G78">
        <v>0</v>
      </c>
      <c r="H78">
        <v>166</v>
      </c>
      <c r="I78" t="s">
        <v>17</v>
      </c>
      <c r="J78">
        <v>2.4</v>
      </c>
      <c r="K78">
        <v>1</v>
      </c>
      <c r="L78">
        <v>0</v>
      </c>
      <c r="M78">
        <v>2</v>
      </c>
      <c r="N78" t="s">
        <v>18</v>
      </c>
    </row>
    <row r="79" spans="1:14" hidden="1" x14ac:dyDescent="0.3">
      <c r="A79">
        <v>59</v>
      </c>
      <c r="B79" t="s">
        <v>14</v>
      </c>
      <c r="C79" t="s">
        <v>22</v>
      </c>
      <c r="D79">
        <v>140</v>
      </c>
      <c r="E79">
        <v>221</v>
      </c>
      <c r="F79" t="s">
        <v>20</v>
      </c>
      <c r="G79">
        <v>1</v>
      </c>
      <c r="H79">
        <v>164</v>
      </c>
      <c r="I79" t="s">
        <v>24</v>
      </c>
      <c r="J79">
        <v>0</v>
      </c>
      <c r="K79">
        <v>2</v>
      </c>
      <c r="L79">
        <v>0</v>
      </c>
      <c r="M79">
        <v>2</v>
      </c>
      <c r="N79" t="s">
        <v>18</v>
      </c>
    </row>
    <row r="80" spans="1:14" hidden="1" x14ac:dyDescent="0.3">
      <c r="A80">
        <v>52</v>
      </c>
      <c r="B80" t="s">
        <v>14</v>
      </c>
      <c r="C80" t="s">
        <v>22</v>
      </c>
      <c r="D80">
        <v>128</v>
      </c>
      <c r="E80">
        <v>205</v>
      </c>
      <c r="F80" t="s">
        <v>16</v>
      </c>
      <c r="G80">
        <v>1</v>
      </c>
      <c r="H80">
        <v>184</v>
      </c>
      <c r="I80" t="s">
        <v>17</v>
      </c>
      <c r="J80">
        <v>0</v>
      </c>
      <c r="K80">
        <v>2</v>
      </c>
      <c r="L80">
        <v>0</v>
      </c>
      <c r="M80">
        <v>2</v>
      </c>
      <c r="N80" t="s">
        <v>18</v>
      </c>
    </row>
    <row r="81" spans="1:14" hidden="1" x14ac:dyDescent="0.3">
      <c r="A81">
        <v>58</v>
      </c>
      <c r="B81" t="s">
        <v>14</v>
      </c>
      <c r="C81" t="s">
        <v>19</v>
      </c>
      <c r="D81">
        <v>105</v>
      </c>
      <c r="E81">
        <v>240</v>
      </c>
      <c r="F81" t="s">
        <v>20</v>
      </c>
      <c r="G81">
        <v>0</v>
      </c>
      <c r="H81">
        <v>154</v>
      </c>
      <c r="I81" t="s">
        <v>24</v>
      </c>
      <c r="J81">
        <v>0.6</v>
      </c>
      <c r="K81">
        <v>1</v>
      </c>
      <c r="L81">
        <v>0</v>
      </c>
      <c r="M81">
        <v>3</v>
      </c>
      <c r="N81" t="s">
        <v>18</v>
      </c>
    </row>
    <row r="82" spans="1:14" hidden="1" x14ac:dyDescent="0.3">
      <c r="A82">
        <v>41</v>
      </c>
      <c r="B82" t="s">
        <v>14</v>
      </c>
      <c r="C82" t="s">
        <v>19</v>
      </c>
      <c r="D82">
        <v>112</v>
      </c>
      <c r="E82">
        <v>250</v>
      </c>
      <c r="F82" t="s">
        <v>20</v>
      </c>
      <c r="G82">
        <v>1</v>
      </c>
      <c r="H82">
        <v>179</v>
      </c>
      <c r="I82" t="s">
        <v>17</v>
      </c>
      <c r="J82">
        <v>0</v>
      </c>
      <c r="K82">
        <v>2</v>
      </c>
      <c r="L82">
        <v>0</v>
      </c>
      <c r="M82">
        <v>2</v>
      </c>
      <c r="N82" t="s">
        <v>18</v>
      </c>
    </row>
    <row r="83" spans="1:14" hidden="1" x14ac:dyDescent="0.3">
      <c r="A83">
        <v>45</v>
      </c>
      <c r="B83" t="s">
        <v>14</v>
      </c>
      <c r="C83" t="s">
        <v>22</v>
      </c>
      <c r="D83">
        <v>128</v>
      </c>
      <c r="E83">
        <v>308</v>
      </c>
      <c r="F83" t="s">
        <v>20</v>
      </c>
      <c r="G83">
        <v>0</v>
      </c>
      <c r="H83">
        <v>170</v>
      </c>
      <c r="I83" t="s">
        <v>17</v>
      </c>
      <c r="J83">
        <v>0</v>
      </c>
      <c r="K83">
        <v>2</v>
      </c>
      <c r="L83">
        <v>0</v>
      </c>
      <c r="M83">
        <v>2</v>
      </c>
      <c r="N83" t="s">
        <v>18</v>
      </c>
    </row>
    <row r="84" spans="1:14" hidden="1" x14ac:dyDescent="0.3">
      <c r="A84">
        <v>60</v>
      </c>
      <c r="B84" t="s">
        <v>21</v>
      </c>
      <c r="C84" t="s">
        <v>19</v>
      </c>
      <c r="D84">
        <v>102</v>
      </c>
      <c r="E84">
        <v>318</v>
      </c>
      <c r="F84" t="s">
        <v>20</v>
      </c>
      <c r="G84">
        <v>1</v>
      </c>
      <c r="H84">
        <v>160</v>
      </c>
      <c r="I84" t="s">
        <v>17</v>
      </c>
      <c r="J84">
        <v>0</v>
      </c>
      <c r="K84">
        <v>2</v>
      </c>
      <c r="L84">
        <v>1</v>
      </c>
      <c r="M84">
        <v>2</v>
      </c>
      <c r="N84" t="s">
        <v>18</v>
      </c>
    </row>
    <row r="85" spans="1:14" hidden="1" x14ac:dyDescent="0.3">
      <c r="A85">
        <v>52</v>
      </c>
      <c r="B85" t="s">
        <v>14</v>
      </c>
      <c r="C85" t="s">
        <v>15</v>
      </c>
      <c r="D85">
        <v>152</v>
      </c>
      <c r="E85">
        <v>298</v>
      </c>
      <c r="F85" t="s">
        <v>16</v>
      </c>
      <c r="G85">
        <v>1</v>
      </c>
      <c r="H85">
        <v>178</v>
      </c>
      <c r="I85" t="s">
        <v>17</v>
      </c>
      <c r="J85">
        <v>1.2</v>
      </c>
      <c r="K85">
        <v>1</v>
      </c>
      <c r="L85">
        <v>0</v>
      </c>
      <c r="M85">
        <v>3</v>
      </c>
      <c r="N85" t="s">
        <v>18</v>
      </c>
    </row>
    <row r="86" spans="1:14" x14ac:dyDescent="0.3">
      <c r="A86">
        <v>42</v>
      </c>
      <c r="B86" t="s">
        <v>21</v>
      </c>
      <c r="C86" t="s">
        <v>23</v>
      </c>
      <c r="D86">
        <v>102</v>
      </c>
      <c r="E86">
        <v>265</v>
      </c>
      <c r="F86" t="s">
        <v>20</v>
      </c>
      <c r="G86">
        <v>0</v>
      </c>
      <c r="H86">
        <v>122</v>
      </c>
      <c r="I86" t="s">
        <v>17</v>
      </c>
      <c r="J86">
        <v>0.6</v>
      </c>
      <c r="K86">
        <v>1</v>
      </c>
      <c r="L86">
        <v>0</v>
      </c>
      <c r="M86">
        <v>2</v>
      </c>
      <c r="N86" t="s">
        <v>18</v>
      </c>
    </row>
    <row r="87" spans="1:14" hidden="1" x14ac:dyDescent="0.3">
      <c r="A87">
        <v>67</v>
      </c>
      <c r="B87" t="s">
        <v>21</v>
      </c>
      <c r="C87" t="s">
        <v>19</v>
      </c>
      <c r="D87">
        <v>115</v>
      </c>
      <c r="E87">
        <v>564</v>
      </c>
      <c r="F87" t="s">
        <v>20</v>
      </c>
      <c r="G87">
        <v>0</v>
      </c>
      <c r="H87">
        <v>160</v>
      </c>
      <c r="I87" t="s">
        <v>17</v>
      </c>
      <c r="J87">
        <v>1.6</v>
      </c>
      <c r="K87">
        <v>1</v>
      </c>
      <c r="L87">
        <v>0</v>
      </c>
      <c r="M87">
        <v>3</v>
      </c>
      <c r="N87" t="s">
        <v>18</v>
      </c>
    </row>
    <row r="88" spans="1:14" hidden="1" x14ac:dyDescent="0.3">
      <c r="A88">
        <v>68</v>
      </c>
      <c r="B88" t="s">
        <v>14</v>
      </c>
      <c r="C88" t="s">
        <v>19</v>
      </c>
      <c r="D88">
        <v>118</v>
      </c>
      <c r="E88">
        <v>277</v>
      </c>
      <c r="F88" t="s">
        <v>20</v>
      </c>
      <c r="G88">
        <v>1</v>
      </c>
      <c r="H88">
        <v>151</v>
      </c>
      <c r="I88" t="s">
        <v>17</v>
      </c>
      <c r="J88">
        <v>1</v>
      </c>
      <c r="K88">
        <v>2</v>
      </c>
      <c r="L88">
        <v>1</v>
      </c>
      <c r="M88">
        <v>3</v>
      </c>
      <c r="N88" t="s">
        <v>18</v>
      </c>
    </row>
    <row r="89" spans="1:14" hidden="1" x14ac:dyDescent="0.3">
      <c r="A89">
        <v>46</v>
      </c>
      <c r="B89" t="s">
        <v>14</v>
      </c>
      <c r="C89" t="s">
        <v>22</v>
      </c>
      <c r="D89">
        <v>101</v>
      </c>
      <c r="E89">
        <v>197</v>
      </c>
      <c r="F89" t="s">
        <v>16</v>
      </c>
      <c r="G89">
        <v>1</v>
      </c>
      <c r="H89">
        <v>156</v>
      </c>
      <c r="I89" t="s">
        <v>17</v>
      </c>
      <c r="J89">
        <v>0</v>
      </c>
      <c r="K89">
        <v>2</v>
      </c>
      <c r="L89">
        <v>0</v>
      </c>
      <c r="M89">
        <v>3</v>
      </c>
      <c r="N89" t="s">
        <v>18</v>
      </c>
    </row>
    <row r="90" spans="1:14" hidden="1" x14ac:dyDescent="0.3">
      <c r="A90">
        <v>54</v>
      </c>
      <c r="B90" t="s">
        <v>21</v>
      </c>
      <c r="C90" t="s">
        <v>19</v>
      </c>
      <c r="D90">
        <v>110</v>
      </c>
      <c r="E90">
        <v>214</v>
      </c>
      <c r="F90" t="s">
        <v>20</v>
      </c>
      <c r="G90">
        <v>1</v>
      </c>
      <c r="H90">
        <v>158</v>
      </c>
      <c r="I90" t="s">
        <v>17</v>
      </c>
      <c r="J90">
        <v>1.6</v>
      </c>
      <c r="K90">
        <v>1</v>
      </c>
      <c r="L90">
        <v>0</v>
      </c>
      <c r="M90">
        <v>2</v>
      </c>
      <c r="N90" t="s">
        <v>18</v>
      </c>
    </row>
    <row r="91" spans="1:14" x14ac:dyDescent="0.3">
      <c r="A91">
        <v>58</v>
      </c>
      <c r="B91" t="s">
        <v>21</v>
      </c>
      <c r="C91" t="s">
        <v>23</v>
      </c>
      <c r="D91">
        <v>100</v>
      </c>
      <c r="E91">
        <v>248</v>
      </c>
      <c r="F91" t="s">
        <v>20</v>
      </c>
      <c r="G91">
        <v>0</v>
      </c>
      <c r="H91">
        <v>122</v>
      </c>
      <c r="I91" t="s">
        <v>17</v>
      </c>
      <c r="J91">
        <v>1</v>
      </c>
      <c r="K91">
        <v>1</v>
      </c>
      <c r="L91">
        <v>0</v>
      </c>
      <c r="M91">
        <v>2</v>
      </c>
      <c r="N91" t="s">
        <v>18</v>
      </c>
    </row>
    <row r="92" spans="1:14" hidden="1" x14ac:dyDescent="0.3">
      <c r="A92">
        <v>48</v>
      </c>
      <c r="B92" t="s">
        <v>14</v>
      </c>
      <c r="C92" t="s">
        <v>19</v>
      </c>
      <c r="D92">
        <v>124</v>
      </c>
      <c r="E92">
        <v>255</v>
      </c>
      <c r="F92" t="s">
        <v>16</v>
      </c>
      <c r="G92">
        <v>1</v>
      </c>
      <c r="H92">
        <v>175</v>
      </c>
      <c r="I92" t="s">
        <v>17</v>
      </c>
      <c r="J92">
        <v>0</v>
      </c>
      <c r="K92">
        <v>2</v>
      </c>
      <c r="L92">
        <v>2</v>
      </c>
      <c r="M92">
        <v>2</v>
      </c>
      <c r="N92" t="s">
        <v>18</v>
      </c>
    </row>
    <row r="93" spans="1:14" x14ac:dyDescent="0.3">
      <c r="A93">
        <v>57</v>
      </c>
      <c r="B93" t="s">
        <v>14</v>
      </c>
      <c r="C93" t="s">
        <v>23</v>
      </c>
      <c r="D93">
        <v>132</v>
      </c>
      <c r="E93">
        <v>207</v>
      </c>
      <c r="F93" t="s">
        <v>20</v>
      </c>
      <c r="G93">
        <v>1</v>
      </c>
      <c r="H93">
        <v>168</v>
      </c>
      <c r="I93" t="s">
        <v>24</v>
      </c>
      <c r="J93">
        <v>0</v>
      </c>
      <c r="K93">
        <v>2</v>
      </c>
      <c r="L93">
        <v>0</v>
      </c>
      <c r="M93">
        <v>3</v>
      </c>
      <c r="N93" t="s">
        <v>18</v>
      </c>
    </row>
    <row r="94" spans="1:14" hidden="1" x14ac:dyDescent="0.3">
      <c r="A94">
        <v>52</v>
      </c>
      <c r="B94" t="s">
        <v>14</v>
      </c>
      <c r="C94" t="s">
        <v>19</v>
      </c>
      <c r="D94">
        <v>138</v>
      </c>
      <c r="E94">
        <v>223</v>
      </c>
      <c r="F94" t="s">
        <v>20</v>
      </c>
      <c r="G94">
        <v>1</v>
      </c>
      <c r="H94">
        <v>169</v>
      </c>
      <c r="I94" t="s">
        <v>17</v>
      </c>
      <c r="J94">
        <v>0</v>
      </c>
      <c r="K94">
        <v>2</v>
      </c>
      <c r="L94">
        <v>4</v>
      </c>
      <c r="M94">
        <v>2</v>
      </c>
      <c r="N94" t="s">
        <v>18</v>
      </c>
    </row>
    <row r="95" spans="1:14" hidden="1" x14ac:dyDescent="0.3">
      <c r="A95">
        <v>54</v>
      </c>
      <c r="B95" t="s">
        <v>21</v>
      </c>
      <c r="C95" t="s">
        <v>22</v>
      </c>
      <c r="D95">
        <v>132</v>
      </c>
      <c r="E95">
        <v>288</v>
      </c>
      <c r="F95" t="s">
        <v>16</v>
      </c>
      <c r="G95">
        <v>0</v>
      </c>
      <c r="H95">
        <v>159</v>
      </c>
      <c r="I95" t="s">
        <v>24</v>
      </c>
      <c r="J95">
        <v>0</v>
      </c>
      <c r="K95">
        <v>2</v>
      </c>
      <c r="L95">
        <v>1</v>
      </c>
      <c r="M95">
        <v>2</v>
      </c>
      <c r="N95" t="s">
        <v>18</v>
      </c>
    </row>
    <row r="96" spans="1:14" hidden="1" x14ac:dyDescent="0.3">
      <c r="A96">
        <v>45</v>
      </c>
      <c r="B96" t="s">
        <v>21</v>
      </c>
      <c r="C96" t="s">
        <v>22</v>
      </c>
      <c r="D96">
        <v>112</v>
      </c>
      <c r="E96">
        <v>160</v>
      </c>
      <c r="F96" t="s">
        <v>20</v>
      </c>
      <c r="G96">
        <v>1</v>
      </c>
      <c r="H96">
        <v>138</v>
      </c>
      <c r="I96" t="s">
        <v>17</v>
      </c>
      <c r="J96">
        <v>0</v>
      </c>
      <c r="K96">
        <v>1</v>
      </c>
      <c r="L96">
        <v>0</v>
      </c>
      <c r="M96">
        <v>2</v>
      </c>
      <c r="N96" t="s">
        <v>18</v>
      </c>
    </row>
    <row r="97" spans="1:14" x14ac:dyDescent="0.3">
      <c r="A97">
        <v>53</v>
      </c>
      <c r="B97" t="s">
        <v>14</v>
      </c>
      <c r="C97" t="s">
        <v>23</v>
      </c>
      <c r="D97">
        <v>142</v>
      </c>
      <c r="E97">
        <v>226</v>
      </c>
      <c r="F97" t="s">
        <v>20</v>
      </c>
      <c r="G97">
        <v>0</v>
      </c>
      <c r="H97">
        <v>111</v>
      </c>
      <c r="I97" t="s">
        <v>24</v>
      </c>
      <c r="J97">
        <v>0</v>
      </c>
      <c r="K97">
        <v>2</v>
      </c>
      <c r="L97">
        <v>0</v>
      </c>
      <c r="M97">
        <v>3</v>
      </c>
      <c r="N97" t="s">
        <v>18</v>
      </c>
    </row>
    <row r="98" spans="1:14" x14ac:dyDescent="0.3">
      <c r="A98">
        <v>62</v>
      </c>
      <c r="B98" t="s">
        <v>21</v>
      </c>
      <c r="C98" t="s">
        <v>23</v>
      </c>
      <c r="D98">
        <v>140</v>
      </c>
      <c r="E98">
        <v>394</v>
      </c>
      <c r="F98" t="s">
        <v>20</v>
      </c>
      <c r="G98">
        <v>0</v>
      </c>
      <c r="H98">
        <v>157</v>
      </c>
      <c r="I98" t="s">
        <v>17</v>
      </c>
      <c r="J98">
        <v>1.2</v>
      </c>
      <c r="K98">
        <v>1</v>
      </c>
      <c r="L98">
        <v>0</v>
      </c>
      <c r="M98">
        <v>2</v>
      </c>
      <c r="N98" t="s">
        <v>18</v>
      </c>
    </row>
    <row r="99" spans="1:14" x14ac:dyDescent="0.3">
      <c r="A99">
        <v>52</v>
      </c>
      <c r="B99" t="s">
        <v>14</v>
      </c>
      <c r="C99" t="s">
        <v>23</v>
      </c>
      <c r="D99">
        <v>108</v>
      </c>
      <c r="E99">
        <v>233</v>
      </c>
      <c r="F99" t="s">
        <v>16</v>
      </c>
      <c r="G99">
        <v>1</v>
      </c>
      <c r="H99">
        <v>147</v>
      </c>
      <c r="I99" t="s">
        <v>17</v>
      </c>
      <c r="J99">
        <v>0.1</v>
      </c>
      <c r="K99">
        <v>2</v>
      </c>
      <c r="L99">
        <v>3</v>
      </c>
      <c r="M99">
        <v>3</v>
      </c>
      <c r="N99" t="s">
        <v>18</v>
      </c>
    </row>
    <row r="100" spans="1:14" hidden="1" x14ac:dyDescent="0.3">
      <c r="A100">
        <v>43</v>
      </c>
      <c r="B100" t="s">
        <v>14</v>
      </c>
      <c r="C100" t="s">
        <v>19</v>
      </c>
      <c r="D100">
        <v>130</v>
      </c>
      <c r="E100">
        <v>315</v>
      </c>
      <c r="F100" t="s">
        <v>20</v>
      </c>
      <c r="G100">
        <v>1</v>
      </c>
      <c r="H100">
        <v>162</v>
      </c>
      <c r="I100" t="s">
        <v>17</v>
      </c>
      <c r="J100">
        <v>1.9</v>
      </c>
      <c r="K100">
        <v>2</v>
      </c>
      <c r="L100">
        <v>1</v>
      </c>
      <c r="M100">
        <v>2</v>
      </c>
      <c r="N100" t="s">
        <v>18</v>
      </c>
    </row>
    <row r="101" spans="1:14" hidden="1" x14ac:dyDescent="0.3">
      <c r="A101">
        <v>53</v>
      </c>
      <c r="B101" t="s">
        <v>14</v>
      </c>
      <c r="C101" t="s">
        <v>19</v>
      </c>
      <c r="D101">
        <v>130</v>
      </c>
      <c r="E101">
        <v>246</v>
      </c>
      <c r="F101" t="s">
        <v>16</v>
      </c>
      <c r="G101">
        <v>0</v>
      </c>
      <c r="H101">
        <v>173</v>
      </c>
      <c r="I101" t="s">
        <v>17</v>
      </c>
      <c r="J101">
        <v>0</v>
      </c>
      <c r="K101">
        <v>2</v>
      </c>
      <c r="L101">
        <v>3</v>
      </c>
      <c r="M101">
        <v>2</v>
      </c>
      <c r="N101" t="s">
        <v>18</v>
      </c>
    </row>
    <row r="102" spans="1:14" hidden="1" x14ac:dyDescent="0.3">
      <c r="A102">
        <v>42</v>
      </c>
      <c r="B102" t="s">
        <v>14</v>
      </c>
      <c r="C102" t="s">
        <v>15</v>
      </c>
      <c r="D102">
        <v>148</v>
      </c>
      <c r="E102">
        <v>244</v>
      </c>
      <c r="F102" t="s">
        <v>20</v>
      </c>
      <c r="G102">
        <v>0</v>
      </c>
      <c r="H102">
        <v>178</v>
      </c>
      <c r="I102" t="s">
        <v>17</v>
      </c>
      <c r="J102">
        <v>0.8</v>
      </c>
      <c r="K102">
        <v>2</v>
      </c>
      <c r="L102">
        <v>2</v>
      </c>
      <c r="M102">
        <v>2</v>
      </c>
      <c r="N102" t="s">
        <v>18</v>
      </c>
    </row>
    <row r="103" spans="1:14" hidden="1" x14ac:dyDescent="0.3">
      <c r="A103">
        <v>59</v>
      </c>
      <c r="B103" t="s">
        <v>14</v>
      </c>
      <c r="C103" t="s">
        <v>15</v>
      </c>
      <c r="D103">
        <v>178</v>
      </c>
      <c r="E103">
        <v>270</v>
      </c>
      <c r="F103" t="s">
        <v>20</v>
      </c>
      <c r="G103">
        <v>0</v>
      </c>
      <c r="H103">
        <v>145</v>
      </c>
      <c r="I103" t="s">
        <v>17</v>
      </c>
      <c r="J103">
        <v>4.2</v>
      </c>
      <c r="K103">
        <v>0</v>
      </c>
      <c r="L103">
        <v>0</v>
      </c>
      <c r="M103">
        <v>3</v>
      </c>
      <c r="N103" t="s">
        <v>18</v>
      </c>
    </row>
    <row r="104" spans="1:14" hidden="1" x14ac:dyDescent="0.3">
      <c r="A104">
        <v>63</v>
      </c>
      <c r="B104" t="s">
        <v>21</v>
      </c>
      <c r="C104" t="s">
        <v>22</v>
      </c>
      <c r="D104">
        <v>140</v>
      </c>
      <c r="E104">
        <v>195</v>
      </c>
      <c r="F104" t="s">
        <v>20</v>
      </c>
      <c r="G104">
        <v>1</v>
      </c>
      <c r="H104">
        <v>179</v>
      </c>
      <c r="I104" t="s">
        <v>17</v>
      </c>
      <c r="J104">
        <v>0</v>
      </c>
      <c r="K104">
        <v>2</v>
      </c>
      <c r="L104">
        <v>2</v>
      </c>
      <c r="M104">
        <v>2</v>
      </c>
      <c r="N104" t="s">
        <v>18</v>
      </c>
    </row>
    <row r="105" spans="1:14" hidden="1" x14ac:dyDescent="0.3">
      <c r="A105">
        <v>42</v>
      </c>
      <c r="B105" t="s">
        <v>14</v>
      </c>
      <c r="C105" t="s">
        <v>19</v>
      </c>
      <c r="D105">
        <v>120</v>
      </c>
      <c r="E105">
        <v>240</v>
      </c>
      <c r="F105" t="s">
        <v>16</v>
      </c>
      <c r="G105">
        <v>1</v>
      </c>
      <c r="H105">
        <v>194</v>
      </c>
      <c r="I105" t="s">
        <v>17</v>
      </c>
      <c r="J105">
        <v>0.8</v>
      </c>
      <c r="K105">
        <v>0</v>
      </c>
      <c r="L105">
        <v>0</v>
      </c>
      <c r="M105">
        <v>3</v>
      </c>
      <c r="N105" t="s">
        <v>18</v>
      </c>
    </row>
    <row r="106" spans="1:14" hidden="1" x14ac:dyDescent="0.3">
      <c r="A106">
        <v>50</v>
      </c>
      <c r="B106" t="s">
        <v>14</v>
      </c>
      <c r="C106" t="s">
        <v>19</v>
      </c>
      <c r="D106">
        <v>129</v>
      </c>
      <c r="E106">
        <v>196</v>
      </c>
      <c r="F106" t="s">
        <v>20</v>
      </c>
      <c r="G106">
        <v>1</v>
      </c>
      <c r="H106">
        <v>163</v>
      </c>
      <c r="I106" t="s">
        <v>17</v>
      </c>
      <c r="J106">
        <v>0</v>
      </c>
      <c r="K106">
        <v>2</v>
      </c>
      <c r="L106">
        <v>0</v>
      </c>
      <c r="M106">
        <v>2</v>
      </c>
      <c r="N106" t="s">
        <v>18</v>
      </c>
    </row>
    <row r="107" spans="1:14" hidden="1" x14ac:dyDescent="0.3">
      <c r="A107">
        <v>68</v>
      </c>
      <c r="B107" t="s">
        <v>21</v>
      </c>
      <c r="C107" t="s">
        <v>19</v>
      </c>
      <c r="D107">
        <v>120</v>
      </c>
      <c r="E107">
        <v>211</v>
      </c>
      <c r="F107" t="s">
        <v>20</v>
      </c>
      <c r="G107">
        <v>0</v>
      </c>
      <c r="H107">
        <v>115</v>
      </c>
      <c r="I107" t="s">
        <v>17</v>
      </c>
      <c r="J107">
        <v>1.5</v>
      </c>
      <c r="K107">
        <v>1</v>
      </c>
      <c r="L107">
        <v>0</v>
      </c>
      <c r="M107">
        <v>2</v>
      </c>
      <c r="N107" t="s">
        <v>18</v>
      </c>
    </row>
    <row r="108" spans="1:14" hidden="1" x14ac:dyDescent="0.3">
      <c r="A108">
        <v>69</v>
      </c>
      <c r="B108" t="s">
        <v>14</v>
      </c>
      <c r="C108" t="s">
        <v>15</v>
      </c>
      <c r="D108">
        <v>160</v>
      </c>
      <c r="E108">
        <v>234</v>
      </c>
      <c r="F108" t="s">
        <v>16</v>
      </c>
      <c r="G108">
        <v>0</v>
      </c>
      <c r="H108">
        <v>131</v>
      </c>
      <c r="I108" t="s">
        <v>17</v>
      </c>
      <c r="J108">
        <v>0.1</v>
      </c>
      <c r="K108">
        <v>1</v>
      </c>
      <c r="L108">
        <v>1</v>
      </c>
      <c r="M108">
        <v>2</v>
      </c>
      <c r="N108" t="s">
        <v>18</v>
      </c>
    </row>
    <row r="109" spans="1:14" x14ac:dyDescent="0.3">
      <c r="A109">
        <v>45</v>
      </c>
      <c r="B109" t="s">
        <v>21</v>
      </c>
      <c r="C109" t="s">
        <v>23</v>
      </c>
      <c r="D109">
        <v>138</v>
      </c>
      <c r="E109">
        <v>236</v>
      </c>
      <c r="F109" t="s">
        <v>20</v>
      </c>
      <c r="G109">
        <v>0</v>
      </c>
      <c r="H109">
        <v>152</v>
      </c>
      <c r="I109" t="s">
        <v>24</v>
      </c>
      <c r="J109">
        <v>0.2</v>
      </c>
      <c r="K109">
        <v>1</v>
      </c>
      <c r="L109">
        <v>0</v>
      </c>
      <c r="M109">
        <v>2</v>
      </c>
      <c r="N109" t="s">
        <v>18</v>
      </c>
    </row>
    <row r="110" spans="1:14" hidden="1" x14ac:dyDescent="0.3">
      <c r="A110">
        <v>50</v>
      </c>
      <c r="B110" t="s">
        <v>21</v>
      </c>
      <c r="C110" t="s">
        <v>22</v>
      </c>
      <c r="D110">
        <v>120</v>
      </c>
      <c r="E110">
        <v>244</v>
      </c>
      <c r="F110" t="s">
        <v>20</v>
      </c>
      <c r="G110">
        <v>1</v>
      </c>
      <c r="H110">
        <v>162</v>
      </c>
      <c r="I110" t="s">
        <v>17</v>
      </c>
      <c r="J110">
        <v>1.1000000000000001</v>
      </c>
      <c r="K110">
        <v>2</v>
      </c>
      <c r="L110">
        <v>0</v>
      </c>
      <c r="M110">
        <v>2</v>
      </c>
      <c r="N110" t="s">
        <v>18</v>
      </c>
    </row>
    <row r="111" spans="1:14" x14ac:dyDescent="0.3">
      <c r="A111">
        <v>50</v>
      </c>
      <c r="B111" t="s">
        <v>21</v>
      </c>
      <c r="C111" t="s">
        <v>23</v>
      </c>
      <c r="D111">
        <v>110</v>
      </c>
      <c r="E111">
        <v>254</v>
      </c>
      <c r="F111" t="s">
        <v>20</v>
      </c>
      <c r="G111">
        <v>0</v>
      </c>
      <c r="H111">
        <v>159</v>
      </c>
      <c r="I111" t="s">
        <v>17</v>
      </c>
      <c r="J111">
        <v>0</v>
      </c>
      <c r="K111">
        <v>2</v>
      </c>
      <c r="L111">
        <v>0</v>
      </c>
      <c r="M111">
        <v>2</v>
      </c>
      <c r="N111" t="s">
        <v>18</v>
      </c>
    </row>
    <row r="112" spans="1:14" x14ac:dyDescent="0.3">
      <c r="A112">
        <v>64</v>
      </c>
      <c r="B112" t="s">
        <v>21</v>
      </c>
      <c r="C112" t="s">
        <v>23</v>
      </c>
      <c r="D112">
        <v>180</v>
      </c>
      <c r="E112">
        <v>325</v>
      </c>
      <c r="F112" t="s">
        <v>20</v>
      </c>
      <c r="G112">
        <v>1</v>
      </c>
      <c r="H112">
        <v>154</v>
      </c>
      <c r="I112" t="s">
        <v>24</v>
      </c>
      <c r="J112">
        <v>0</v>
      </c>
      <c r="K112">
        <v>2</v>
      </c>
      <c r="L112">
        <v>0</v>
      </c>
      <c r="M112">
        <v>2</v>
      </c>
      <c r="N112" t="s">
        <v>18</v>
      </c>
    </row>
    <row r="113" spans="1:14" hidden="1" x14ac:dyDescent="0.3">
      <c r="A113">
        <v>57</v>
      </c>
      <c r="B113" t="s">
        <v>14</v>
      </c>
      <c r="C113" t="s">
        <v>19</v>
      </c>
      <c r="D113">
        <v>150</v>
      </c>
      <c r="E113">
        <v>126</v>
      </c>
      <c r="F113" t="s">
        <v>16</v>
      </c>
      <c r="G113">
        <v>1</v>
      </c>
      <c r="H113">
        <v>173</v>
      </c>
      <c r="I113" t="s">
        <v>17</v>
      </c>
      <c r="J113">
        <v>0.2</v>
      </c>
      <c r="K113">
        <v>2</v>
      </c>
      <c r="L113">
        <v>1</v>
      </c>
      <c r="M113">
        <v>3</v>
      </c>
      <c r="N113" t="s">
        <v>18</v>
      </c>
    </row>
    <row r="114" spans="1:14" hidden="1" x14ac:dyDescent="0.3">
      <c r="A114">
        <v>64</v>
      </c>
      <c r="B114" t="s">
        <v>21</v>
      </c>
      <c r="C114" t="s">
        <v>19</v>
      </c>
      <c r="D114">
        <v>140</v>
      </c>
      <c r="E114">
        <v>313</v>
      </c>
      <c r="F114" t="s">
        <v>20</v>
      </c>
      <c r="G114">
        <v>1</v>
      </c>
      <c r="H114">
        <v>133</v>
      </c>
      <c r="I114" t="s">
        <v>17</v>
      </c>
      <c r="J114">
        <v>0.2</v>
      </c>
      <c r="K114">
        <v>2</v>
      </c>
      <c r="L114">
        <v>0</v>
      </c>
      <c r="M114">
        <v>3</v>
      </c>
      <c r="N114" t="s">
        <v>18</v>
      </c>
    </row>
    <row r="115" spans="1:14" x14ac:dyDescent="0.3">
      <c r="A115">
        <v>43</v>
      </c>
      <c r="B115" t="s">
        <v>14</v>
      </c>
      <c r="C115" t="s">
        <v>23</v>
      </c>
      <c r="D115">
        <v>110</v>
      </c>
      <c r="E115">
        <v>211</v>
      </c>
      <c r="F115" t="s">
        <v>20</v>
      </c>
      <c r="G115">
        <v>1</v>
      </c>
      <c r="H115">
        <v>161</v>
      </c>
      <c r="I115" t="s">
        <v>17</v>
      </c>
      <c r="J115">
        <v>0</v>
      </c>
      <c r="K115">
        <v>2</v>
      </c>
      <c r="L115">
        <v>0</v>
      </c>
      <c r="M115">
        <v>3</v>
      </c>
      <c r="N115" t="s">
        <v>18</v>
      </c>
    </row>
    <row r="116" spans="1:14" hidden="1" x14ac:dyDescent="0.3">
      <c r="A116">
        <v>55</v>
      </c>
      <c r="B116" t="s">
        <v>14</v>
      </c>
      <c r="C116" t="s">
        <v>22</v>
      </c>
      <c r="D116">
        <v>130</v>
      </c>
      <c r="E116">
        <v>262</v>
      </c>
      <c r="F116" t="s">
        <v>20</v>
      </c>
      <c r="G116">
        <v>1</v>
      </c>
      <c r="H116">
        <v>155</v>
      </c>
      <c r="I116" t="s">
        <v>17</v>
      </c>
      <c r="J116">
        <v>0</v>
      </c>
      <c r="K116">
        <v>2</v>
      </c>
      <c r="L116">
        <v>0</v>
      </c>
      <c r="M116">
        <v>2</v>
      </c>
      <c r="N116" t="s">
        <v>18</v>
      </c>
    </row>
    <row r="117" spans="1:14" hidden="1" x14ac:dyDescent="0.3">
      <c r="A117">
        <v>37</v>
      </c>
      <c r="B117" t="s">
        <v>21</v>
      </c>
      <c r="C117" t="s">
        <v>19</v>
      </c>
      <c r="D117">
        <v>120</v>
      </c>
      <c r="E117">
        <v>215</v>
      </c>
      <c r="F117" t="s">
        <v>20</v>
      </c>
      <c r="G117">
        <v>1</v>
      </c>
      <c r="H117">
        <v>170</v>
      </c>
      <c r="I117" t="s">
        <v>17</v>
      </c>
      <c r="J117">
        <v>0</v>
      </c>
      <c r="K117">
        <v>2</v>
      </c>
      <c r="L117">
        <v>0</v>
      </c>
      <c r="M117">
        <v>2</v>
      </c>
      <c r="N117" t="s">
        <v>18</v>
      </c>
    </row>
    <row r="118" spans="1:14" hidden="1" x14ac:dyDescent="0.3">
      <c r="A118">
        <v>41</v>
      </c>
      <c r="B118" t="s">
        <v>14</v>
      </c>
      <c r="C118" t="s">
        <v>19</v>
      </c>
      <c r="D118">
        <v>130</v>
      </c>
      <c r="E118">
        <v>214</v>
      </c>
      <c r="F118" t="s">
        <v>20</v>
      </c>
      <c r="G118">
        <v>0</v>
      </c>
      <c r="H118">
        <v>168</v>
      </c>
      <c r="I118" t="s">
        <v>17</v>
      </c>
      <c r="J118">
        <v>2</v>
      </c>
      <c r="K118">
        <v>1</v>
      </c>
      <c r="L118">
        <v>0</v>
      </c>
      <c r="M118">
        <v>2</v>
      </c>
      <c r="N118" t="s">
        <v>18</v>
      </c>
    </row>
    <row r="119" spans="1:14" hidden="1" x14ac:dyDescent="0.3">
      <c r="A119">
        <v>56</v>
      </c>
      <c r="B119" t="s">
        <v>14</v>
      </c>
      <c r="C119" t="s">
        <v>15</v>
      </c>
      <c r="D119">
        <v>120</v>
      </c>
      <c r="E119">
        <v>193</v>
      </c>
      <c r="F119" t="s">
        <v>20</v>
      </c>
      <c r="G119">
        <v>0</v>
      </c>
      <c r="H119">
        <v>162</v>
      </c>
      <c r="I119" t="s">
        <v>17</v>
      </c>
      <c r="J119">
        <v>1.9</v>
      </c>
      <c r="K119">
        <v>1</v>
      </c>
      <c r="L119">
        <v>0</v>
      </c>
      <c r="M119">
        <v>3</v>
      </c>
      <c r="N119" t="s">
        <v>18</v>
      </c>
    </row>
    <row r="120" spans="1:14" hidden="1" x14ac:dyDescent="0.3">
      <c r="A120">
        <v>46</v>
      </c>
      <c r="B120" t="s">
        <v>21</v>
      </c>
      <c r="C120" t="s">
        <v>22</v>
      </c>
      <c r="D120">
        <v>105</v>
      </c>
      <c r="E120">
        <v>204</v>
      </c>
      <c r="F120" t="s">
        <v>20</v>
      </c>
      <c r="G120">
        <v>1</v>
      </c>
      <c r="H120">
        <v>172</v>
      </c>
      <c r="I120" t="s">
        <v>17</v>
      </c>
      <c r="J120">
        <v>0</v>
      </c>
      <c r="K120">
        <v>2</v>
      </c>
      <c r="L120">
        <v>0</v>
      </c>
      <c r="M120">
        <v>2</v>
      </c>
      <c r="N120" t="s">
        <v>18</v>
      </c>
    </row>
    <row r="121" spans="1:14" x14ac:dyDescent="0.3">
      <c r="A121">
        <v>46</v>
      </c>
      <c r="B121" t="s">
        <v>21</v>
      </c>
      <c r="C121" t="s">
        <v>23</v>
      </c>
      <c r="D121">
        <v>138</v>
      </c>
      <c r="E121">
        <v>243</v>
      </c>
      <c r="F121" t="s">
        <v>20</v>
      </c>
      <c r="G121">
        <v>0</v>
      </c>
      <c r="H121">
        <v>152</v>
      </c>
      <c r="I121" t="s">
        <v>24</v>
      </c>
      <c r="J121">
        <v>0</v>
      </c>
      <c r="K121">
        <v>1</v>
      </c>
      <c r="L121">
        <v>0</v>
      </c>
      <c r="M121">
        <v>2</v>
      </c>
      <c r="N121" t="s">
        <v>18</v>
      </c>
    </row>
    <row r="122" spans="1:14" x14ac:dyDescent="0.3">
      <c r="A122">
        <v>64</v>
      </c>
      <c r="B122" t="s">
        <v>21</v>
      </c>
      <c r="C122" t="s">
        <v>23</v>
      </c>
      <c r="D122">
        <v>130</v>
      </c>
      <c r="E122">
        <v>303</v>
      </c>
      <c r="F122" t="s">
        <v>20</v>
      </c>
      <c r="G122">
        <v>1</v>
      </c>
      <c r="H122">
        <v>122</v>
      </c>
      <c r="I122" t="s">
        <v>17</v>
      </c>
      <c r="J122">
        <v>2</v>
      </c>
      <c r="K122">
        <v>1</v>
      </c>
      <c r="L122">
        <v>2</v>
      </c>
      <c r="M122">
        <v>2</v>
      </c>
      <c r="N122" t="s">
        <v>18</v>
      </c>
    </row>
    <row r="123" spans="1:14" x14ac:dyDescent="0.3">
      <c r="A123">
        <v>59</v>
      </c>
      <c r="B123" t="s">
        <v>14</v>
      </c>
      <c r="C123" t="s">
        <v>23</v>
      </c>
      <c r="D123">
        <v>138</v>
      </c>
      <c r="E123">
        <v>271</v>
      </c>
      <c r="F123" t="s">
        <v>20</v>
      </c>
      <c r="G123">
        <v>0</v>
      </c>
      <c r="H123">
        <v>182</v>
      </c>
      <c r="I123" t="s">
        <v>17</v>
      </c>
      <c r="J123">
        <v>0</v>
      </c>
      <c r="K123">
        <v>2</v>
      </c>
      <c r="L123">
        <v>0</v>
      </c>
      <c r="M123">
        <v>2</v>
      </c>
      <c r="N123" t="s">
        <v>18</v>
      </c>
    </row>
    <row r="124" spans="1:14" hidden="1" x14ac:dyDescent="0.3">
      <c r="A124">
        <v>41</v>
      </c>
      <c r="B124" t="s">
        <v>21</v>
      </c>
      <c r="C124" t="s">
        <v>19</v>
      </c>
      <c r="D124">
        <v>112</v>
      </c>
      <c r="E124">
        <v>268</v>
      </c>
      <c r="F124" t="s">
        <v>20</v>
      </c>
      <c r="G124">
        <v>0</v>
      </c>
      <c r="H124">
        <v>172</v>
      </c>
      <c r="I124" t="s">
        <v>24</v>
      </c>
      <c r="J124">
        <v>0</v>
      </c>
      <c r="K124">
        <v>2</v>
      </c>
      <c r="L124">
        <v>0</v>
      </c>
      <c r="M124">
        <v>2</v>
      </c>
      <c r="N124" t="s">
        <v>18</v>
      </c>
    </row>
    <row r="125" spans="1:14" hidden="1" x14ac:dyDescent="0.3">
      <c r="A125">
        <v>54</v>
      </c>
      <c r="B125" t="s">
        <v>21</v>
      </c>
      <c r="C125" t="s">
        <v>19</v>
      </c>
      <c r="D125">
        <v>108</v>
      </c>
      <c r="E125">
        <v>267</v>
      </c>
      <c r="F125" t="s">
        <v>20</v>
      </c>
      <c r="G125">
        <v>0</v>
      </c>
      <c r="H125">
        <v>167</v>
      </c>
      <c r="I125" t="s">
        <v>17</v>
      </c>
      <c r="J125">
        <v>0</v>
      </c>
      <c r="K125">
        <v>2</v>
      </c>
      <c r="L125">
        <v>0</v>
      </c>
      <c r="M125">
        <v>2</v>
      </c>
      <c r="N125" t="s">
        <v>18</v>
      </c>
    </row>
    <row r="126" spans="1:14" hidden="1" x14ac:dyDescent="0.3">
      <c r="A126">
        <v>39</v>
      </c>
      <c r="B126" t="s">
        <v>21</v>
      </c>
      <c r="C126" t="s">
        <v>19</v>
      </c>
      <c r="D126">
        <v>94</v>
      </c>
      <c r="E126">
        <v>199</v>
      </c>
      <c r="F126" t="s">
        <v>20</v>
      </c>
      <c r="G126">
        <v>1</v>
      </c>
      <c r="H126">
        <v>179</v>
      </c>
      <c r="I126" t="s">
        <v>17</v>
      </c>
      <c r="J126">
        <v>0</v>
      </c>
      <c r="K126">
        <v>2</v>
      </c>
      <c r="L126">
        <v>0</v>
      </c>
      <c r="M126">
        <v>2</v>
      </c>
      <c r="N126" t="s">
        <v>18</v>
      </c>
    </row>
    <row r="127" spans="1:14" hidden="1" x14ac:dyDescent="0.3">
      <c r="A127">
        <v>34</v>
      </c>
      <c r="B127" t="s">
        <v>21</v>
      </c>
      <c r="C127" t="s">
        <v>22</v>
      </c>
      <c r="D127">
        <v>118</v>
      </c>
      <c r="E127">
        <v>210</v>
      </c>
      <c r="F127" t="s">
        <v>20</v>
      </c>
      <c r="G127">
        <v>1</v>
      </c>
      <c r="H127">
        <v>192</v>
      </c>
      <c r="I127" t="s">
        <v>17</v>
      </c>
      <c r="J127">
        <v>0.7</v>
      </c>
      <c r="K127">
        <v>2</v>
      </c>
      <c r="L127">
        <v>0</v>
      </c>
      <c r="M127">
        <v>2</v>
      </c>
      <c r="N127" t="s">
        <v>18</v>
      </c>
    </row>
    <row r="128" spans="1:14" x14ac:dyDescent="0.3">
      <c r="A128">
        <v>47</v>
      </c>
      <c r="B128" t="s">
        <v>14</v>
      </c>
      <c r="C128" t="s">
        <v>23</v>
      </c>
      <c r="D128">
        <v>112</v>
      </c>
      <c r="E128">
        <v>204</v>
      </c>
      <c r="F128" t="s">
        <v>20</v>
      </c>
      <c r="G128">
        <v>1</v>
      </c>
      <c r="H128">
        <v>143</v>
      </c>
      <c r="I128" t="s">
        <v>17</v>
      </c>
      <c r="J128">
        <v>0.1</v>
      </c>
      <c r="K128">
        <v>2</v>
      </c>
      <c r="L128">
        <v>0</v>
      </c>
      <c r="M128">
        <v>2</v>
      </c>
      <c r="N128" t="s">
        <v>18</v>
      </c>
    </row>
    <row r="129" spans="1:14" hidden="1" x14ac:dyDescent="0.3">
      <c r="A129">
        <v>67</v>
      </c>
      <c r="B129" t="s">
        <v>21</v>
      </c>
      <c r="C129" t="s">
        <v>19</v>
      </c>
      <c r="D129">
        <v>152</v>
      </c>
      <c r="E129">
        <v>277</v>
      </c>
      <c r="F129" t="s">
        <v>20</v>
      </c>
      <c r="G129">
        <v>1</v>
      </c>
      <c r="H129">
        <v>172</v>
      </c>
      <c r="I129" t="s">
        <v>17</v>
      </c>
      <c r="J129">
        <v>0</v>
      </c>
      <c r="K129">
        <v>2</v>
      </c>
      <c r="L129">
        <v>1</v>
      </c>
      <c r="M129">
        <v>2</v>
      </c>
      <c r="N129" t="s">
        <v>18</v>
      </c>
    </row>
    <row r="130" spans="1:14" hidden="1" x14ac:dyDescent="0.3">
      <c r="A130">
        <v>52</v>
      </c>
      <c r="B130" t="s">
        <v>21</v>
      </c>
      <c r="C130" t="s">
        <v>19</v>
      </c>
      <c r="D130">
        <v>136</v>
      </c>
      <c r="E130">
        <v>196</v>
      </c>
      <c r="F130" t="s">
        <v>20</v>
      </c>
      <c r="G130">
        <v>0</v>
      </c>
      <c r="H130">
        <v>169</v>
      </c>
      <c r="I130" t="s">
        <v>17</v>
      </c>
      <c r="J130">
        <v>0.1</v>
      </c>
      <c r="K130">
        <v>1</v>
      </c>
      <c r="L130">
        <v>0</v>
      </c>
      <c r="M130">
        <v>2</v>
      </c>
      <c r="N130" t="s">
        <v>18</v>
      </c>
    </row>
    <row r="131" spans="1:14" hidden="1" x14ac:dyDescent="0.3">
      <c r="A131">
        <v>74</v>
      </c>
      <c r="B131" t="s">
        <v>21</v>
      </c>
      <c r="C131" t="s">
        <v>22</v>
      </c>
      <c r="D131">
        <v>120</v>
      </c>
      <c r="E131">
        <v>269</v>
      </c>
      <c r="F131" t="s">
        <v>20</v>
      </c>
      <c r="G131">
        <v>0</v>
      </c>
      <c r="H131">
        <v>121</v>
      </c>
      <c r="I131" t="s">
        <v>24</v>
      </c>
      <c r="J131">
        <v>0.2</v>
      </c>
      <c r="K131">
        <v>2</v>
      </c>
      <c r="L131">
        <v>1</v>
      </c>
      <c r="M131">
        <v>2</v>
      </c>
      <c r="N131" t="s">
        <v>18</v>
      </c>
    </row>
    <row r="132" spans="1:14" hidden="1" x14ac:dyDescent="0.3">
      <c r="A132">
        <v>54</v>
      </c>
      <c r="B132" t="s">
        <v>21</v>
      </c>
      <c r="C132" t="s">
        <v>19</v>
      </c>
      <c r="D132">
        <v>160</v>
      </c>
      <c r="E132">
        <v>201</v>
      </c>
      <c r="F132" t="s">
        <v>20</v>
      </c>
      <c r="G132">
        <v>1</v>
      </c>
      <c r="H132">
        <v>163</v>
      </c>
      <c r="I132" t="s">
        <v>17</v>
      </c>
      <c r="J132">
        <v>0</v>
      </c>
      <c r="K132">
        <v>2</v>
      </c>
      <c r="L132">
        <v>1</v>
      </c>
      <c r="M132">
        <v>2</v>
      </c>
      <c r="N132" t="s">
        <v>18</v>
      </c>
    </row>
    <row r="133" spans="1:14" hidden="1" x14ac:dyDescent="0.3">
      <c r="A133">
        <v>49</v>
      </c>
      <c r="B133" t="s">
        <v>21</v>
      </c>
      <c r="C133" t="s">
        <v>22</v>
      </c>
      <c r="D133">
        <v>134</v>
      </c>
      <c r="E133">
        <v>271</v>
      </c>
      <c r="F133" t="s">
        <v>20</v>
      </c>
      <c r="G133">
        <v>1</v>
      </c>
      <c r="H133">
        <v>162</v>
      </c>
      <c r="I133" t="s">
        <v>17</v>
      </c>
      <c r="J133">
        <v>0</v>
      </c>
      <c r="K133">
        <v>1</v>
      </c>
      <c r="L133">
        <v>0</v>
      </c>
      <c r="M133">
        <v>2</v>
      </c>
      <c r="N133" t="s">
        <v>18</v>
      </c>
    </row>
    <row r="134" spans="1:14" hidden="1" x14ac:dyDescent="0.3">
      <c r="A134">
        <v>42</v>
      </c>
      <c r="B134" t="s">
        <v>14</v>
      </c>
      <c r="C134" t="s">
        <v>22</v>
      </c>
      <c r="D134">
        <v>120</v>
      </c>
      <c r="E134">
        <v>295</v>
      </c>
      <c r="F134" t="s">
        <v>20</v>
      </c>
      <c r="G134">
        <v>1</v>
      </c>
      <c r="H134">
        <v>162</v>
      </c>
      <c r="I134" t="s">
        <v>17</v>
      </c>
      <c r="J134">
        <v>0</v>
      </c>
      <c r="K134">
        <v>2</v>
      </c>
      <c r="L134">
        <v>0</v>
      </c>
      <c r="M134">
        <v>2</v>
      </c>
      <c r="N134" t="s">
        <v>18</v>
      </c>
    </row>
    <row r="135" spans="1:14" hidden="1" x14ac:dyDescent="0.3">
      <c r="A135">
        <v>41</v>
      </c>
      <c r="B135" t="s">
        <v>14</v>
      </c>
      <c r="C135" t="s">
        <v>22</v>
      </c>
      <c r="D135">
        <v>110</v>
      </c>
      <c r="E135">
        <v>235</v>
      </c>
      <c r="F135" t="s">
        <v>20</v>
      </c>
      <c r="G135">
        <v>1</v>
      </c>
      <c r="H135">
        <v>153</v>
      </c>
      <c r="I135" t="s">
        <v>17</v>
      </c>
      <c r="J135">
        <v>0</v>
      </c>
      <c r="K135">
        <v>2</v>
      </c>
      <c r="L135">
        <v>0</v>
      </c>
      <c r="M135">
        <v>2</v>
      </c>
      <c r="N135" t="s">
        <v>18</v>
      </c>
    </row>
    <row r="136" spans="1:14" hidden="1" x14ac:dyDescent="0.3">
      <c r="A136">
        <v>41</v>
      </c>
      <c r="B136" t="s">
        <v>21</v>
      </c>
      <c r="C136" t="s">
        <v>22</v>
      </c>
      <c r="D136">
        <v>126</v>
      </c>
      <c r="E136">
        <v>306</v>
      </c>
      <c r="F136" t="s">
        <v>20</v>
      </c>
      <c r="G136">
        <v>1</v>
      </c>
      <c r="H136">
        <v>163</v>
      </c>
      <c r="I136" t="s">
        <v>17</v>
      </c>
      <c r="J136">
        <v>0</v>
      </c>
      <c r="K136">
        <v>2</v>
      </c>
      <c r="L136">
        <v>0</v>
      </c>
      <c r="M136">
        <v>2</v>
      </c>
      <c r="N136" t="s">
        <v>18</v>
      </c>
    </row>
    <row r="137" spans="1:14" x14ac:dyDescent="0.3">
      <c r="A137">
        <v>49</v>
      </c>
      <c r="B137" t="s">
        <v>21</v>
      </c>
      <c r="C137" t="s">
        <v>23</v>
      </c>
      <c r="D137">
        <v>130</v>
      </c>
      <c r="E137">
        <v>269</v>
      </c>
      <c r="F137" t="s">
        <v>20</v>
      </c>
      <c r="G137">
        <v>1</v>
      </c>
      <c r="H137">
        <v>163</v>
      </c>
      <c r="I137" t="s">
        <v>17</v>
      </c>
      <c r="J137">
        <v>0</v>
      </c>
      <c r="K137">
        <v>2</v>
      </c>
      <c r="L137">
        <v>0</v>
      </c>
      <c r="M137">
        <v>2</v>
      </c>
      <c r="N137" t="s">
        <v>18</v>
      </c>
    </row>
    <row r="138" spans="1:14" hidden="1" x14ac:dyDescent="0.3">
      <c r="A138">
        <v>60</v>
      </c>
      <c r="B138" t="s">
        <v>21</v>
      </c>
      <c r="C138" t="s">
        <v>19</v>
      </c>
      <c r="D138">
        <v>120</v>
      </c>
      <c r="E138">
        <v>178</v>
      </c>
      <c r="F138" t="s">
        <v>16</v>
      </c>
      <c r="G138">
        <v>1</v>
      </c>
      <c r="H138">
        <v>96</v>
      </c>
      <c r="I138" t="s">
        <v>17</v>
      </c>
      <c r="J138">
        <v>0</v>
      </c>
      <c r="K138">
        <v>2</v>
      </c>
      <c r="L138">
        <v>0</v>
      </c>
      <c r="M138">
        <v>2</v>
      </c>
      <c r="N138" t="s">
        <v>18</v>
      </c>
    </row>
    <row r="139" spans="1:14" hidden="1" x14ac:dyDescent="0.3">
      <c r="A139">
        <v>62</v>
      </c>
      <c r="B139" t="s">
        <v>14</v>
      </c>
      <c r="C139" t="s">
        <v>22</v>
      </c>
      <c r="D139">
        <v>128</v>
      </c>
      <c r="E139">
        <v>208</v>
      </c>
      <c r="F139" t="s">
        <v>16</v>
      </c>
      <c r="G139">
        <v>0</v>
      </c>
      <c r="H139">
        <v>140</v>
      </c>
      <c r="I139" t="s">
        <v>17</v>
      </c>
      <c r="J139">
        <v>0</v>
      </c>
      <c r="K139">
        <v>2</v>
      </c>
      <c r="L139">
        <v>0</v>
      </c>
      <c r="M139">
        <v>2</v>
      </c>
      <c r="N139" t="s">
        <v>18</v>
      </c>
    </row>
    <row r="140" spans="1:14" x14ac:dyDescent="0.3">
      <c r="A140">
        <v>57</v>
      </c>
      <c r="B140" t="s">
        <v>14</v>
      </c>
      <c r="C140" t="s">
        <v>23</v>
      </c>
      <c r="D140">
        <v>110</v>
      </c>
      <c r="E140">
        <v>201</v>
      </c>
      <c r="F140" t="s">
        <v>20</v>
      </c>
      <c r="G140">
        <v>1</v>
      </c>
      <c r="H140">
        <v>126</v>
      </c>
      <c r="I140" t="s">
        <v>24</v>
      </c>
      <c r="J140">
        <v>1.5</v>
      </c>
      <c r="K140">
        <v>1</v>
      </c>
      <c r="L140">
        <v>0</v>
      </c>
      <c r="M140">
        <v>1</v>
      </c>
      <c r="N140" t="s">
        <v>18</v>
      </c>
    </row>
    <row r="141" spans="1:14" x14ac:dyDescent="0.3">
      <c r="A141">
        <v>64</v>
      </c>
      <c r="B141" t="s">
        <v>14</v>
      </c>
      <c r="C141" t="s">
        <v>23</v>
      </c>
      <c r="D141">
        <v>128</v>
      </c>
      <c r="E141">
        <v>263</v>
      </c>
      <c r="F141" t="s">
        <v>20</v>
      </c>
      <c r="G141">
        <v>1</v>
      </c>
      <c r="H141">
        <v>105</v>
      </c>
      <c r="I141" t="s">
        <v>24</v>
      </c>
      <c r="J141">
        <v>0.2</v>
      </c>
      <c r="K141">
        <v>1</v>
      </c>
      <c r="L141">
        <v>1</v>
      </c>
      <c r="M141">
        <v>3</v>
      </c>
      <c r="N141" t="s">
        <v>18</v>
      </c>
    </row>
    <row r="142" spans="1:14" hidden="1" x14ac:dyDescent="0.3">
      <c r="A142">
        <v>51</v>
      </c>
      <c r="B142" t="s">
        <v>21</v>
      </c>
      <c r="C142" t="s">
        <v>19</v>
      </c>
      <c r="D142">
        <v>120</v>
      </c>
      <c r="E142">
        <v>295</v>
      </c>
      <c r="F142" t="s">
        <v>20</v>
      </c>
      <c r="G142">
        <v>0</v>
      </c>
      <c r="H142">
        <v>157</v>
      </c>
      <c r="I142" t="s">
        <v>17</v>
      </c>
      <c r="J142">
        <v>0.6</v>
      </c>
      <c r="K142">
        <v>2</v>
      </c>
      <c r="L142">
        <v>0</v>
      </c>
      <c r="M142">
        <v>2</v>
      </c>
      <c r="N142" t="s">
        <v>18</v>
      </c>
    </row>
    <row r="143" spans="1:14" x14ac:dyDescent="0.3">
      <c r="A143">
        <v>43</v>
      </c>
      <c r="B143" t="s">
        <v>14</v>
      </c>
      <c r="C143" t="s">
        <v>23</v>
      </c>
      <c r="D143">
        <v>115</v>
      </c>
      <c r="E143">
        <v>303</v>
      </c>
      <c r="F143" t="s">
        <v>20</v>
      </c>
      <c r="G143">
        <v>1</v>
      </c>
      <c r="H143">
        <v>181</v>
      </c>
      <c r="I143" t="s">
        <v>17</v>
      </c>
      <c r="J143">
        <v>1.2</v>
      </c>
      <c r="K143">
        <v>1</v>
      </c>
      <c r="L143">
        <v>0</v>
      </c>
      <c r="M143">
        <v>2</v>
      </c>
      <c r="N143" t="s">
        <v>18</v>
      </c>
    </row>
    <row r="144" spans="1:14" hidden="1" x14ac:dyDescent="0.3">
      <c r="A144">
        <v>42</v>
      </c>
      <c r="B144" t="s">
        <v>21</v>
      </c>
      <c r="C144" t="s">
        <v>19</v>
      </c>
      <c r="D144">
        <v>120</v>
      </c>
      <c r="E144">
        <v>209</v>
      </c>
      <c r="F144" t="s">
        <v>20</v>
      </c>
      <c r="G144">
        <v>1</v>
      </c>
      <c r="H144">
        <v>173</v>
      </c>
      <c r="I144" t="s">
        <v>17</v>
      </c>
      <c r="J144">
        <v>0</v>
      </c>
      <c r="K144">
        <v>1</v>
      </c>
      <c r="L144">
        <v>0</v>
      </c>
      <c r="M144">
        <v>2</v>
      </c>
      <c r="N144" t="s">
        <v>18</v>
      </c>
    </row>
    <row r="145" spans="1:14" x14ac:dyDescent="0.3">
      <c r="A145">
        <v>67</v>
      </c>
      <c r="B145" t="s">
        <v>21</v>
      </c>
      <c r="C145" t="s">
        <v>23</v>
      </c>
      <c r="D145">
        <v>106</v>
      </c>
      <c r="E145">
        <v>223</v>
      </c>
      <c r="F145" t="s">
        <v>20</v>
      </c>
      <c r="G145">
        <v>1</v>
      </c>
      <c r="H145">
        <v>142</v>
      </c>
      <c r="I145" t="s">
        <v>17</v>
      </c>
      <c r="J145">
        <v>0.3</v>
      </c>
      <c r="K145">
        <v>2</v>
      </c>
      <c r="L145">
        <v>2</v>
      </c>
      <c r="M145">
        <v>2</v>
      </c>
      <c r="N145" t="s">
        <v>18</v>
      </c>
    </row>
    <row r="146" spans="1:14" hidden="1" x14ac:dyDescent="0.3">
      <c r="A146">
        <v>76</v>
      </c>
      <c r="B146" t="s">
        <v>21</v>
      </c>
      <c r="C146" t="s">
        <v>19</v>
      </c>
      <c r="D146">
        <v>140</v>
      </c>
      <c r="E146">
        <v>197</v>
      </c>
      <c r="F146" t="s">
        <v>20</v>
      </c>
      <c r="G146">
        <v>2</v>
      </c>
      <c r="H146">
        <v>116</v>
      </c>
      <c r="I146" t="s">
        <v>17</v>
      </c>
      <c r="J146">
        <v>1.1000000000000001</v>
      </c>
      <c r="K146">
        <v>1</v>
      </c>
      <c r="L146">
        <v>0</v>
      </c>
      <c r="M146">
        <v>2</v>
      </c>
      <c r="N146" t="s">
        <v>18</v>
      </c>
    </row>
    <row r="147" spans="1:14" hidden="1" x14ac:dyDescent="0.3">
      <c r="A147">
        <v>70</v>
      </c>
      <c r="B147" t="s">
        <v>14</v>
      </c>
      <c r="C147" t="s">
        <v>22</v>
      </c>
      <c r="D147">
        <v>156</v>
      </c>
      <c r="E147">
        <v>245</v>
      </c>
      <c r="F147" t="s">
        <v>20</v>
      </c>
      <c r="G147">
        <v>0</v>
      </c>
      <c r="H147">
        <v>143</v>
      </c>
      <c r="I147" t="s">
        <v>17</v>
      </c>
      <c r="J147">
        <v>0</v>
      </c>
      <c r="K147">
        <v>2</v>
      </c>
      <c r="L147">
        <v>0</v>
      </c>
      <c r="M147">
        <v>2</v>
      </c>
      <c r="N147" t="s">
        <v>18</v>
      </c>
    </row>
    <row r="148" spans="1:14" hidden="1" x14ac:dyDescent="0.3">
      <c r="A148">
        <v>44</v>
      </c>
      <c r="B148" t="s">
        <v>21</v>
      </c>
      <c r="C148" t="s">
        <v>19</v>
      </c>
      <c r="D148">
        <v>118</v>
      </c>
      <c r="E148">
        <v>242</v>
      </c>
      <c r="F148" t="s">
        <v>20</v>
      </c>
      <c r="G148">
        <v>1</v>
      </c>
      <c r="H148">
        <v>149</v>
      </c>
      <c r="I148" t="s">
        <v>17</v>
      </c>
      <c r="J148">
        <v>0.3</v>
      </c>
      <c r="K148">
        <v>1</v>
      </c>
      <c r="L148">
        <v>1</v>
      </c>
      <c r="M148">
        <v>2</v>
      </c>
      <c r="N148" t="s">
        <v>18</v>
      </c>
    </row>
    <row r="149" spans="1:14" hidden="1" x14ac:dyDescent="0.3">
      <c r="A149">
        <v>60</v>
      </c>
      <c r="B149" t="s">
        <v>21</v>
      </c>
      <c r="C149" t="s">
        <v>15</v>
      </c>
      <c r="D149">
        <v>150</v>
      </c>
      <c r="E149">
        <v>240</v>
      </c>
      <c r="F149" t="s">
        <v>20</v>
      </c>
      <c r="G149">
        <v>1</v>
      </c>
      <c r="H149">
        <v>171</v>
      </c>
      <c r="I149" t="s">
        <v>17</v>
      </c>
      <c r="J149">
        <v>0.9</v>
      </c>
      <c r="K149">
        <v>2</v>
      </c>
      <c r="L149">
        <v>0</v>
      </c>
      <c r="M149">
        <v>2</v>
      </c>
      <c r="N149" t="s">
        <v>18</v>
      </c>
    </row>
    <row r="150" spans="1:14" hidden="1" x14ac:dyDescent="0.3">
      <c r="A150">
        <v>44</v>
      </c>
      <c r="B150" t="s">
        <v>14</v>
      </c>
      <c r="C150" t="s">
        <v>19</v>
      </c>
      <c r="D150">
        <v>120</v>
      </c>
      <c r="E150">
        <v>226</v>
      </c>
      <c r="F150" t="s">
        <v>20</v>
      </c>
      <c r="G150">
        <v>1</v>
      </c>
      <c r="H150">
        <v>169</v>
      </c>
      <c r="I150" t="s">
        <v>17</v>
      </c>
      <c r="J150">
        <v>0</v>
      </c>
      <c r="K150">
        <v>2</v>
      </c>
      <c r="L150">
        <v>0</v>
      </c>
      <c r="M150">
        <v>2</v>
      </c>
      <c r="N150" t="s">
        <v>18</v>
      </c>
    </row>
    <row r="151" spans="1:14" hidden="1" x14ac:dyDescent="0.3">
      <c r="A151">
        <v>42</v>
      </c>
      <c r="B151" t="s">
        <v>14</v>
      </c>
      <c r="C151" t="s">
        <v>19</v>
      </c>
      <c r="D151">
        <v>130</v>
      </c>
      <c r="E151">
        <v>180</v>
      </c>
      <c r="F151" t="s">
        <v>20</v>
      </c>
      <c r="G151">
        <v>1</v>
      </c>
      <c r="H151">
        <v>150</v>
      </c>
      <c r="I151" t="s">
        <v>17</v>
      </c>
      <c r="J151">
        <v>0</v>
      </c>
      <c r="K151">
        <v>2</v>
      </c>
      <c r="L151">
        <v>0</v>
      </c>
      <c r="M151">
        <v>2</v>
      </c>
      <c r="N151" t="s">
        <v>18</v>
      </c>
    </row>
    <row r="152" spans="1:14" x14ac:dyDescent="0.3">
      <c r="A152">
        <v>66</v>
      </c>
      <c r="B152" t="s">
        <v>14</v>
      </c>
      <c r="C152" t="s">
        <v>23</v>
      </c>
      <c r="D152">
        <v>160</v>
      </c>
      <c r="E152">
        <v>228</v>
      </c>
      <c r="F152" t="s">
        <v>20</v>
      </c>
      <c r="G152">
        <v>0</v>
      </c>
      <c r="H152">
        <v>138</v>
      </c>
      <c r="I152" t="s">
        <v>17</v>
      </c>
      <c r="J152">
        <v>2.2999999999999998</v>
      </c>
      <c r="K152">
        <v>2</v>
      </c>
      <c r="L152">
        <v>0</v>
      </c>
      <c r="M152">
        <v>1</v>
      </c>
      <c r="N152" t="s">
        <v>18</v>
      </c>
    </row>
    <row r="153" spans="1:14" x14ac:dyDescent="0.3">
      <c r="A153">
        <v>71</v>
      </c>
      <c r="B153" t="s">
        <v>21</v>
      </c>
      <c r="C153" t="s">
        <v>23</v>
      </c>
      <c r="D153">
        <v>112</v>
      </c>
      <c r="E153">
        <v>149</v>
      </c>
      <c r="F153" t="s">
        <v>20</v>
      </c>
      <c r="G153">
        <v>1</v>
      </c>
      <c r="H153">
        <v>125</v>
      </c>
      <c r="I153" t="s">
        <v>17</v>
      </c>
      <c r="J153">
        <v>1.6</v>
      </c>
      <c r="K153">
        <v>1</v>
      </c>
      <c r="L153">
        <v>0</v>
      </c>
      <c r="M153">
        <v>2</v>
      </c>
      <c r="N153" t="s">
        <v>18</v>
      </c>
    </row>
    <row r="154" spans="1:14" hidden="1" x14ac:dyDescent="0.3">
      <c r="A154">
        <v>64</v>
      </c>
      <c r="B154" t="s">
        <v>14</v>
      </c>
      <c r="C154" t="s">
        <v>15</v>
      </c>
      <c r="D154">
        <v>170</v>
      </c>
      <c r="E154">
        <v>227</v>
      </c>
      <c r="F154" t="s">
        <v>20</v>
      </c>
      <c r="G154">
        <v>0</v>
      </c>
      <c r="H154">
        <v>155</v>
      </c>
      <c r="I154" t="s">
        <v>17</v>
      </c>
      <c r="J154">
        <v>0.6</v>
      </c>
      <c r="K154">
        <v>1</v>
      </c>
      <c r="L154">
        <v>0</v>
      </c>
      <c r="M154">
        <v>3</v>
      </c>
      <c r="N154" t="s">
        <v>18</v>
      </c>
    </row>
    <row r="155" spans="1:14" hidden="1" x14ac:dyDescent="0.3">
      <c r="A155">
        <v>66</v>
      </c>
      <c r="B155" t="s">
        <v>21</v>
      </c>
      <c r="C155" t="s">
        <v>19</v>
      </c>
      <c r="D155">
        <v>146</v>
      </c>
      <c r="E155">
        <v>278</v>
      </c>
      <c r="F155" t="s">
        <v>20</v>
      </c>
      <c r="G155">
        <v>0</v>
      </c>
      <c r="H155">
        <v>152</v>
      </c>
      <c r="I155" t="s">
        <v>17</v>
      </c>
      <c r="J155">
        <v>0</v>
      </c>
      <c r="K155">
        <v>1</v>
      </c>
      <c r="L155">
        <v>1</v>
      </c>
      <c r="M155">
        <v>2</v>
      </c>
      <c r="N155" t="s">
        <v>18</v>
      </c>
    </row>
    <row r="156" spans="1:14" hidden="1" x14ac:dyDescent="0.3">
      <c r="A156">
        <v>39</v>
      </c>
      <c r="B156" t="s">
        <v>21</v>
      </c>
      <c r="C156" t="s">
        <v>19</v>
      </c>
      <c r="D156">
        <v>138</v>
      </c>
      <c r="E156">
        <v>220</v>
      </c>
      <c r="F156" t="s">
        <v>20</v>
      </c>
      <c r="G156">
        <v>1</v>
      </c>
      <c r="H156">
        <v>152</v>
      </c>
      <c r="I156" t="s">
        <v>17</v>
      </c>
      <c r="J156">
        <v>0</v>
      </c>
      <c r="K156">
        <v>1</v>
      </c>
      <c r="L156">
        <v>0</v>
      </c>
      <c r="M156">
        <v>2</v>
      </c>
      <c r="N156" t="s">
        <v>18</v>
      </c>
    </row>
    <row r="157" spans="1:14" x14ac:dyDescent="0.3">
      <c r="A157">
        <v>58</v>
      </c>
      <c r="B157" t="s">
        <v>21</v>
      </c>
      <c r="C157" t="s">
        <v>23</v>
      </c>
      <c r="D157">
        <v>130</v>
      </c>
      <c r="E157">
        <v>197</v>
      </c>
      <c r="F157" t="s">
        <v>20</v>
      </c>
      <c r="G157">
        <v>1</v>
      </c>
      <c r="H157">
        <v>131</v>
      </c>
      <c r="I157" t="s">
        <v>17</v>
      </c>
      <c r="J157">
        <v>0.6</v>
      </c>
      <c r="K157">
        <v>1</v>
      </c>
      <c r="L157">
        <v>0</v>
      </c>
      <c r="M157">
        <v>2</v>
      </c>
      <c r="N157" t="s">
        <v>18</v>
      </c>
    </row>
    <row r="158" spans="1:14" hidden="1" x14ac:dyDescent="0.3">
      <c r="A158">
        <v>47</v>
      </c>
      <c r="B158" t="s">
        <v>14</v>
      </c>
      <c r="C158" t="s">
        <v>19</v>
      </c>
      <c r="D158">
        <v>130</v>
      </c>
      <c r="E158">
        <v>253</v>
      </c>
      <c r="F158" t="s">
        <v>20</v>
      </c>
      <c r="G158">
        <v>1</v>
      </c>
      <c r="H158">
        <v>179</v>
      </c>
      <c r="I158" t="s">
        <v>17</v>
      </c>
      <c r="J158">
        <v>0</v>
      </c>
      <c r="K158">
        <v>2</v>
      </c>
      <c r="L158">
        <v>0</v>
      </c>
      <c r="M158">
        <v>2</v>
      </c>
      <c r="N158" t="s">
        <v>18</v>
      </c>
    </row>
    <row r="159" spans="1:14" hidden="1" x14ac:dyDescent="0.3">
      <c r="A159">
        <v>35</v>
      </c>
      <c r="B159" t="s">
        <v>14</v>
      </c>
      <c r="C159" t="s">
        <v>22</v>
      </c>
      <c r="D159">
        <v>122</v>
      </c>
      <c r="E159">
        <v>192</v>
      </c>
      <c r="F159" t="s">
        <v>20</v>
      </c>
      <c r="G159">
        <v>1</v>
      </c>
      <c r="H159">
        <v>174</v>
      </c>
      <c r="I159" t="s">
        <v>17</v>
      </c>
      <c r="J159">
        <v>0</v>
      </c>
      <c r="K159">
        <v>2</v>
      </c>
      <c r="L159">
        <v>0</v>
      </c>
      <c r="M159">
        <v>2</v>
      </c>
      <c r="N159" t="s">
        <v>18</v>
      </c>
    </row>
    <row r="160" spans="1:14" hidden="1" x14ac:dyDescent="0.3">
      <c r="A160">
        <v>58</v>
      </c>
      <c r="B160" t="s">
        <v>14</v>
      </c>
      <c r="C160" t="s">
        <v>22</v>
      </c>
      <c r="D160">
        <v>125</v>
      </c>
      <c r="E160">
        <v>220</v>
      </c>
      <c r="F160" t="s">
        <v>20</v>
      </c>
      <c r="G160">
        <v>1</v>
      </c>
      <c r="H160">
        <v>144</v>
      </c>
      <c r="I160" t="s">
        <v>17</v>
      </c>
      <c r="J160">
        <v>0.4</v>
      </c>
      <c r="K160">
        <v>1</v>
      </c>
      <c r="L160">
        <v>4</v>
      </c>
      <c r="M160">
        <v>3</v>
      </c>
      <c r="N160" t="s">
        <v>18</v>
      </c>
    </row>
    <row r="161" spans="1:14" hidden="1" x14ac:dyDescent="0.3">
      <c r="A161">
        <v>56</v>
      </c>
      <c r="B161" t="s">
        <v>14</v>
      </c>
      <c r="C161" t="s">
        <v>22</v>
      </c>
      <c r="D161">
        <v>130</v>
      </c>
      <c r="E161">
        <v>221</v>
      </c>
      <c r="F161" t="s">
        <v>20</v>
      </c>
      <c r="G161">
        <v>0</v>
      </c>
      <c r="H161">
        <v>163</v>
      </c>
      <c r="I161" t="s">
        <v>17</v>
      </c>
      <c r="J161">
        <v>0</v>
      </c>
      <c r="K161">
        <v>2</v>
      </c>
      <c r="L161">
        <v>0</v>
      </c>
      <c r="M161">
        <v>3</v>
      </c>
      <c r="N161" t="s">
        <v>18</v>
      </c>
    </row>
    <row r="162" spans="1:14" hidden="1" x14ac:dyDescent="0.3">
      <c r="A162">
        <v>56</v>
      </c>
      <c r="B162" t="s">
        <v>14</v>
      </c>
      <c r="C162" t="s">
        <v>22</v>
      </c>
      <c r="D162">
        <v>120</v>
      </c>
      <c r="E162">
        <v>240</v>
      </c>
      <c r="F162" t="s">
        <v>20</v>
      </c>
      <c r="G162">
        <v>1</v>
      </c>
      <c r="H162">
        <v>169</v>
      </c>
      <c r="I162" t="s">
        <v>17</v>
      </c>
      <c r="J162">
        <v>0</v>
      </c>
      <c r="K162">
        <v>0</v>
      </c>
      <c r="L162">
        <v>0</v>
      </c>
      <c r="M162">
        <v>2</v>
      </c>
      <c r="N162" t="s">
        <v>18</v>
      </c>
    </row>
    <row r="163" spans="1:14" hidden="1" x14ac:dyDescent="0.3">
      <c r="A163">
        <v>55</v>
      </c>
      <c r="B163" t="s">
        <v>21</v>
      </c>
      <c r="C163" t="s">
        <v>22</v>
      </c>
      <c r="D163">
        <v>132</v>
      </c>
      <c r="E163">
        <v>342</v>
      </c>
      <c r="F163" t="s">
        <v>20</v>
      </c>
      <c r="G163">
        <v>1</v>
      </c>
      <c r="H163">
        <v>166</v>
      </c>
      <c r="I163" t="s">
        <v>17</v>
      </c>
      <c r="J163">
        <v>1.2</v>
      </c>
      <c r="K163">
        <v>2</v>
      </c>
      <c r="L163">
        <v>0</v>
      </c>
      <c r="M163">
        <v>2</v>
      </c>
      <c r="N163" t="s">
        <v>18</v>
      </c>
    </row>
    <row r="164" spans="1:14" hidden="1" x14ac:dyDescent="0.3">
      <c r="A164">
        <v>41</v>
      </c>
      <c r="B164" t="s">
        <v>14</v>
      </c>
      <c r="C164" t="s">
        <v>22</v>
      </c>
      <c r="D164">
        <v>120</v>
      </c>
      <c r="E164">
        <v>157</v>
      </c>
      <c r="F164" t="s">
        <v>20</v>
      </c>
      <c r="G164">
        <v>1</v>
      </c>
      <c r="H164">
        <v>182</v>
      </c>
      <c r="I164" t="s">
        <v>17</v>
      </c>
      <c r="J164">
        <v>0</v>
      </c>
      <c r="K164">
        <v>2</v>
      </c>
      <c r="L164">
        <v>0</v>
      </c>
      <c r="M164">
        <v>2</v>
      </c>
      <c r="N164" t="s">
        <v>18</v>
      </c>
    </row>
    <row r="165" spans="1:14" hidden="1" x14ac:dyDescent="0.3">
      <c r="A165">
        <v>38</v>
      </c>
      <c r="B165" t="s">
        <v>14</v>
      </c>
      <c r="C165" t="s">
        <v>19</v>
      </c>
      <c r="D165">
        <v>138</v>
      </c>
      <c r="E165">
        <v>175</v>
      </c>
      <c r="F165" t="s">
        <v>20</v>
      </c>
      <c r="G165">
        <v>1</v>
      </c>
      <c r="H165">
        <v>173</v>
      </c>
      <c r="I165" t="s">
        <v>17</v>
      </c>
      <c r="J165">
        <v>0</v>
      </c>
      <c r="K165">
        <v>2</v>
      </c>
      <c r="L165">
        <v>4</v>
      </c>
      <c r="M165">
        <v>2</v>
      </c>
      <c r="N165" t="s">
        <v>18</v>
      </c>
    </row>
    <row r="166" spans="1:14" hidden="1" x14ac:dyDescent="0.3">
      <c r="A166">
        <v>38</v>
      </c>
      <c r="B166" t="s">
        <v>14</v>
      </c>
      <c r="C166" t="s">
        <v>19</v>
      </c>
      <c r="D166">
        <v>138</v>
      </c>
      <c r="E166">
        <v>175</v>
      </c>
      <c r="F166" t="s">
        <v>20</v>
      </c>
      <c r="G166">
        <v>1</v>
      </c>
      <c r="H166">
        <v>173</v>
      </c>
      <c r="I166" t="s">
        <v>17</v>
      </c>
      <c r="J166">
        <v>0</v>
      </c>
      <c r="K166">
        <v>2</v>
      </c>
      <c r="L166">
        <v>4</v>
      </c>
      <c r="M166">
        <v>2</v>
      </c>
      <c r="N166" t="s">
        <v>18</v>
      </c>
    </row>
  </sheetData>
  <autoFilter ref="C1:C166" xr:uid="{20EDB2D6-CB69-4C1F-B562-FEBC999B40E7}">
    <filterColumn colId="0">
      <filters>
        <filter val="Angina tipica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0B7D-9C6A-400E-93B9-77054681322C}">
  <dimension ref="A1:K7"/>
  <sheetViews>
    <sheetView tabSelected="1" workbookViewId="0">
      <selection activeCell="C17" sqref="C16:C17"/>
    </sheetView>
  </sheetViews>
  <sheetFormatPr defaultRowHeight="14.4" x14ac:dyDescent="0.3"/>
  <cols>
    <col min="1" max="1" width="12.5546875" bestFit="1" customWidth="1"/>
    <col min="2" max="2" width="13.33203125" bestFit="1" customWidth="1"/>
    <col min="3" max="3" width="25.109375" bestFit="1" customWidth="1"/>
    <col min="4" max="4" width="19.88671875" bestFit="1" customWidth="1"/>
    <col min="5" max="5" width="20" bestFit="1" customWidth="1"/>
    <col min="6" max="6" width="27" bestFit="1" customWidth="1"/>
    <col min="7" max="7" width="20.77734375" bestFit="1" customWidth="1"/>
    <col min="8" max="8" width="23.44140625" bestFit="1" customWidth="1"/>
    <col min="9" max="9" width="22.77734375" bestFit="1" customWidth="1"/>
    <col min="10" max="10" width="21.5546875" bestFit="1" customWidth="1"/>
    <col min="11" max="11" width="22.109375" bestFit="1" customWidth="1"/>
  </cols>
  <sheetData>
    <row r="1" spans="1:11" x14ac:dyDescent="0.3">
      <c r="A1" s="19" t="s">
        <v>48</v>
      </c>
    </row>
    <row r="2" spans="1:11" x14ac:dyDescent="0.3">
      <c r="A2" s="18" t="s">
        <v>52</v>
      </c>
    </row>
    <row r="3" spans="1:11" x14ac:dyDescent="0.3">
      <c r="A3" s="18" t="s">
        <v>53</v>
      </c>
    </row>
    <row r="4" spans="1:11" x14ac:dyDescent="0.3">
      <c r="A4" s="2" t="s">
        <v>26</v>
      </c>
      <c r="B4" t="s">
        <v>29</v>
      </c>
      <c r="C4" t="s">
        <v>41</v>
      </c>
      <c r="D4" t="s">
        <v>45</v>
      </c>
      <c r="E4" t="s">
        <v>42</v>
      </c>
      <c r="F4" t="s">
        <v>46</v>
      </c>
      <c r="G4" t="s">
        <v>47</v>
      </c>
      <c r="H4" t="s">
        <v>43</v>
      </c>
      <c r="I4" t="s">
        <v>44</v>
      </c>
      <c r="J4" t="s">
        <v>51</v>
      </c>
    </row>
    <row r="5" spans="1:11" x14ac:dyDescent="0.3">
      <c r="A5" s="3" t="s">
        <v>21</v>
      </c>
      <c r="B5" s="4">
        <v>0.46153846153846156</v>
      </c>
      <c r="C5" s="7">
        <v>127.44444444444444</v>
      </c>
      <c r="D5" s="7">
        <v>0.5</v>
      </c>
      <c r="E5" s="17">
        <v>258.5</v>
      </c>
      <c r="F5" s="7">
        <v>148.38888888888889</v>
      </c>
      <c r="G5" s="17">
        <v>18</v>
      </c>
      <c r="H5" s="7">
        <v>0.55000000000000004</v>
      </c>
      <c r="I5" s="7">
        <v>0.27777777777777779</v>
      </c>
      <c r="J5" s="7">
        <v>1.5</v>
      </c>
      <c r="K5" s="1" t="s">
        <v>50</v>
      </c>
    </row>
    <row r="6" spans="1:11" x14ac:dyDescent="0.3">
      <c r="A6" s="3" t="s">
        <v>14</v>
      </c>
      <c r="B6" s="4">
        <v>0.53846153846153844</v>
      </c>
      <c r="C6" s="7">
        <v>127.66666666666667</v>
      </c>
      <c r="D6" s="7">
        <v>0.61904761904761907</v>
      </c>
      <c r="E6" s="7">
        <v>234.04761904761904</v>
      </c>
      <c r="F6" s="7">
        <v>156</v>
      </c>
      <c r="G6" s="7">
        <v>21</v>
      </c>
      <c r="H6" s="7">
        <v>0.60952380952380936</v>
      </c>
      <c r="I6" s="7">
        <v>0.19047619047619047</v>
      </c>
      <c r="J6" s="7">
        <v>1.6666666666666667</v>
      </c>
      <c r="K6" s="1" t="s">
        <v>50</v>
      </c>
    </row>
    <row r="7" spans="1:11" x14ac:dyDescent="0.3">
      <c r="A7" s="3" t="s">
        <v>27</v>
      </c>
      <c r="B7" s="4">
        <v>1</v>
      </c>
      <c r="C7" s="7">
        <v>127.56410256410257</v>
      </c>
      <c r="D7" s="7">
        <v>0.5641025641025641</v>
      </c>
      <c r="E7" s="7">
        <v>245.33333333333334</v>
      </c>
      <c r="F7" s="7">
        <v>152.48717948717947</v>
      </c>
      <c r="G7" s="7">
        <v>39</v>
      </c>
      <c r="H7" s="7">
        <v>0.58205128205128198</v>
      </c>
      <c r="I7" s="7">
        <v>0.23076923076923078</v>
      </c>
      <c r="J7" s="7">
        <v>1.5897435897435896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48714-A61D-45C9-9F89-93A52669244A}">
  <dimension ref="A1:N40"/>
  <sheetViews>
    <sheetView workbookViewId="0">
      <pane ySplit="1" topLeftCell="A2" activePane="bottomLeft" state="frozen"/>
      <selection pane="bottomLeft" sqref="A1:XFD40"/>
    </sheetView>
  </sheetViews>
  <sheetFormatPr defaultRowHeight="14.4" x14ac:dyDescent="0.3"/>
  <cols>
    <col min="2" max="2" width="8.44140625" bestFit="1" customWidth="1"/>
    <col min="3" max="3" width="18.109375" bestFit="1" customWidth="1"/>
    <col min="4" max="4" width="15.33203125" bestFit="1" customWidth="1"/>
    <col min="5" max="5" width="10.21875" bestFit="1" customWidth="1"/>
    <col min="6" max="6" width="15.33203125" bestFit="1" customWidth="1"/>
    <col min="7" max="7" width="10.109375" bestFit="1" customWidth="1"/>
    <col min="8" max="8" width="17.21875" bestFit="1" customWidth="1"/>
    <col min="9" max="9" width="12.77734375" bestFit="1" customWidth="1"/>
    <col min="10" max="10" width="13.6640625" bestFit="1" customWidth="1"/>
    <col min="11" max="11" width="11.6640625" bestFit="1" customWidth="1"/>
    <col min="12" max="12" width="12.88671875" bestFit="1" customWidth="1"/>
    <col min="13" max="13" width="9.77734375" bestFit="1" customWidth="1"/>
  </cols>
  <sheetData>
    <row r="1" spans="1:14" s="18" customForma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</row>
    <row r="2" spans="1:14" x14ac:dyDescent="0.3">
      <c r="A2">
        <v>57</v>
      </c>
      <c r="B2" t="s">
        <v>21</v>
      </c>
      <c r="C2" t="s">
        <v>23</v>
      </c>
      <c r="D2">
        <v>120</v>
      </c>
      <c r="E2">
        <v>354</v>
      </c>
      <c r="F2" t="s">
        <v>20</v>
      </c>
      <c r="G2">
        <v>1</v>
      </c>
      <c r="H2">
        <v>163</v>
      </c>
      <c r="I2" t="s">
        <v>24</v>
      </c>
      <c r="J2">
        <v>0.6</v>
      </c>
      <c r="K2">
        <v>2</v>
      </c>
      <c r="L2">
        <v>0</v>
      </c>
      <c r="M2">
        <v>2</v>
      </c>
      <c r="N2" t="s">
        <v>18</v>
      </c>
    </row>
    <row r="3" spans="1:14" x14ac:dyDescent="0.3">
      <c r="A3">
        <v>57</v>
      </c>
      <c r="B3" t="s">
        <v>14</v>
      </c>
      <c r="C3" t="s">
        <v>23</v>
      </c>
      <c r="D3">
        <v>140</v>
      </c>
      <c r="E3">
        <v>192</v>
      </c>
      <c r="F3" t="s">
        <v>20</v>
      </c>
      <c r="G3">
        <v>1</v>
      </c>
      <c r="H3">
        <v>148</v>
      </c>
      <c r="I3" t="s">
        <v>17</v>
      </c>
      <c r="J3">
        <v>0.4</v>
      </c>
      <c r="K3">
        <v>1</v>
      </c>
      <c r="L3">
        <v>0</v>
      </c>
      <c r="M3">
        <v>1</v>
      </c>
      <c r="N3" t="s">
        <v>18</v>
      </c>
    </row>
    <row r="4" spans="1:14" x14ac:dyDescent="0.3">
      <c r="A4">
        <v>54</v>
      </c>
      <c r="B4" t="s">
        <v>14</v>
      </c>
      <c r="C4" t="s">
        <v>23</v>
      </c>
      <c r="D4">
        <v>140</v>
      </c>
      <c r="E4">
        <v>239</v>
      </c>
      <c r="F4" t="s">
        <v>20</v>
      </c>
      <c r="G4">
        <v>1</v>
      </c>
      <c r="H4">
        <v>160</v>
      </c>
      <c r="I4" t="s">
        <v>17</v>
      </c>
      <c r="J4">
        <v>1.2</v>
      </c>
      <c r="K4">
        <v>2</v>
      </c>
      <c r="L4">
        <v>0</v>
      </c>
      <c r="M4">
        <v>2</v>
      </c>
      <c r="N4" t="s">
        <v>18</v>
      </c>
    </row>
    <row r="5" spans="1:14" x14ac:dyDescent="0.3">
      <c r="A5">
        <v>43</v>
      </c>
      <c r="B5" t="s">
        <v>14</v>
      </c>
      <c r="C5" t="s">
        <v>23</v>
      </c>
      <c r="D5">
        <v>150</v>
      </c>
      <c r="E5">
        <v>247</v>
      </c>
      <c r="F5" t="s">
        <v>20</v>
      </c>
      <c r="G5">
        <v>1</v>
      </c>
      <c r="H5">
        <v>171</v>
      </c>
      <c r="I5" t="s">
        <v>17</v>
      </c>
      <c r="J5">
        <v>1.5</v>
      </c>
      <c r="K5">
        <v>2</v>
      </c>
      <c r="L5">
        <v>0</v>
      </c>
      <c r="M5">
        <v>2</v>
      </c>
      <c r="N5" t="s">
        <v>18</v>
      </c>
    </row>
    <row r="6" spans="1:14" x14ac:dyDescent="0.3">
      <c r="A6">
        <v>59</v>
      </c>
      <c r="B6" t="s">
        <v>14</v>
      </c>
      <c r="C6" t="s">
        <v>23</v>
      </c>
      <c r="D6">
        <v>135</v>
      </c>
      <c r="E6">
        <v>234</v>
      </c>
      <c r="F6" t="s">
        <v>20</v>
      </c>
      <c r="G6">
        <v>1</v>
      </c>
      <c r="H6">
        <v>161</v>
      </c>
      <c r="I6" t="s">
        <v>17</v>
      </c>
      <c r="J6">
        <v>0.5</v>
      </c>
      <c r="K6">
        <v>1</v>
      </c>
      <c r="L6">
        <v>0</v>
      </c>
      <c r="M6">
        <v>3</v>
      </c>
      <c r="N6" t="s">
        <v>18</v>
      </c>
    </row>
    <row r="7" spans="1:14" x14ac:dyDescent="0.3">
      <c r="A7">
        <v>42</v>
      </c>
      <c r="B7" t="s">
        <v>14</v>
      </c>
      <c r="C7" t="s">
        <v>23</v>
      </c>
      <c r="D7">
        <v>140</v>
      </c>
      <c r="E7">
        <v>226</v>
      </c>
      <c r="F7" t="s">
        <v>20</v>
      </c>
      <c r="G7">
        <v>1</v>
      </c>
      <c r="H7">
        <v>178</v>
      </c>
      <c r="I7" t="s">
        <v>17</v>
      </c>
      <c r="J7">
        <v>0</v>
      </c>
      <c r="K7">
        <v>2</v>
      </c>
      <c r="L7">
        <v>0</v>
      </c>
      <c r="M7">
        <v>2</v>
      </c>
      <c r="N7" t="s">
        <v>18</v>
      </c>
    </row>
    <row r="8" spans="1:14" x14ac:dyDescent="0.3">
      <c r="A8">
        <v>65</v>
      </c>
      <c r="B8" t="s">
        <v>14</v>
      </c>
      <c r="C8" t="s">
        <v>23</v>
      </c>
      <c r="D8">
        <v>120</v>
      </c>
      <c r="E8">
        <v>177</v>
      </c>
      <c r="F8" t="s">
        <v>20</v>
      </c>
      <c r="G8">
        <v>1</v>
      </c>
      <c r="H8">
        <v>140</v>
      </c>
      <c r="I8" t="s">
        <v>17</v>
      </c>
      <c r="J8">
        <v>0.4</v>
      </c>
      <c r="K8">
        <v>2</v>
      </c>
      <c r="L8">
        <v>0</v>
      </c>
      <c r="M8">
        <v>3</v>
      </c>
      <c r="N8" t="s">
        <v>18</v>
      </c>
    </row>
    <row r="9" spans="1:14" x14ac:dyDescent="0.3">
      <c r="A9">
        <v>45</v>
      </c>
      <c r="B9" t="s">
        <v>14</v>
      </c>
      <c r="C9" t="s">
        <v>23</v>
      </c>
      <c r="D9">
        <v>104</v>
      </c>
      <c r="E9">
        <v>208</v>
      </c>
      <c r="F9" t="s">
        <v>20</v>
      </c>
      <c r="G9">
        <v>0</v>
      </c>
      <c r="H9">
        <v>148</v>
      </c>
      <c r="I9" t="s">
        <v>24</v>
      </c>
      <c r="J9">
        <v>3</v>
      </c>
      <c r="K9">
        <v>1</v>
      </c>
      <c r="L9">
        <v>0</v>
      </c>
      <c r="M9">
        <v>2</v>
      </c>
      <c r="N9" t="s">
        <v>18</v>
      </c>
    </row>
    <row r="10" spans="1:14" x14ac:dyDescent="0.3">
      <c r="A10">
        <v>53</v>
      </c>
      <c r="B10" t="s">
        <v>21</v>
      </c>
      <c r="C10" t="s">
        <v>23</v>
      </c>
      <c r="D10">
        <v>130</v>
      </c>
      <c r="E10">
        <v>264</v>
      </c>
      <c r="F10" t="s">
        <v>20</v>
      </c>
      <c r="G10">
        <v>0</v>
      </c>
      <c r="H10">
        <v>143</v>
      </c>
      <c r="I10" t="s">
        <v>17</v>
      </c>
      <c r="J10">
        <v>0.4</v>
      </c>
      <c r="K10">
        <v>1</v>
      </c>
      <c r="L10">
        <v>0</v>
      </c>
      <c r="M10">
        <v>2</v>
      </c>
      <c r="N10" t="s">
        <v>18</v>
      </c>
    </row>
    <row r="11" spans="1:14" x14ac:dyDescent="0.3">
      <c r="A11">
        <v>53</v>
      </c>
      <c r="B11" t="s">
        <v>21</v>
      </c>
      <c r="C11" t="s">
        <v>23</v>
      </c>
      <c r="D11">
        <v>138</v>
      </c>
      <c r="E11">
        <v>234</v>
      </c>
      <c r="F11" t="s">
        <v>20</v>
      </c>
      <c r="G11">
        <v>0</v>
      </c>
      <c r="H11">
        <v>160</v>
      </c>
      <c r="I11" t="s">
        <v>17</v>
      </c>
      <c r="J11">
        <v>0</v>
      </c>
      <c r="K11">
        <v>2</v>
      </c>
      <c r="L11">
        <v>0</v>
      </c>
      <c r="M11">
        <v>2</v>
      </c>
      <c r="N11" t="s">
        <v>18</v>
      </c>
    </row>
    <row r="12" spans="1:14" x14ac:dyDescent="0.3">
      <c r="A12">
        <v>66</v>
      </c>
      <c r="B12" t="s">
        <v>14</v>
      </c>
      <c r="C12" t="s">
        <v>23</v>
      </c>
      <c r="D12">
        <v>120</v>
      </c>
      <c r="E12">
        <v>302</v>
      </c>
      <c r="F12" t="s">
        <v>20</v>
      </c>
      <c r="G12">
        <v>0</v>
      </c>
      <c r="H12">
        <v>151</v>
      </c>
      <c r="I12" t="s">
        <v>17</v>
      </c>
      <c r="J12">
        <v>0.4</v>
      </c>
      <c r="K12">
        <v>1</v>
      </c>
      <c r="L12">
        <v>0</v>
      </c>
      <c r="M12">
        <v>2</v>
      </c>
      <c r="N12" t="s">
        <v>18</v>
      </c>
    </row>
    <row r="13" spans="1:14" x14ac:dyDescent="0.3">
      <c r="A13">
        <v>48</v>
      </c>
      <c r="B13" t="s">
        <v>14</v>
      </c>
      <c r="C13" t="s">
        <v>23</v>
      </c>
      <c r="D13">
        <v>122</v>
      </c>
      <c r="E13">
        <v>222</v>
      </c>
      <c r="F13" t="s">
        <v>20</v>
      </c>
      <c r="G13">
        <v>0</v>
      </c>
      <c r="H13">
        <v>186</v>
      </c>
      <c r="I13" t="s">
        <v>17</v>
      </c>
      <c r="J13">
        <v>0</v>
      </c>
      <c r="K13">
        <v>2</v>
      </c>
      <c r="L13">
        <v>0</v>
      </c>
      <c r="M13">
        <v>2</v>
      </c>
      <c r="N13" t="s">
        <v>18</v>
      </c>
    </row>
    <row r="14" spans="1:14" x14ac:dyDescent="0.3">
      <c r="A14">
        <v>45</v>
      </c>
      <c r="B14" t="s">
        <v>14</v>
      </c>
      <c r="C14" t="s">
        <v>23</v>
      </c>
      <c r="D14">
        <v>115</v>
      </c>
      <c r="E14">
        <v>260</v>
      </c>
      <c r="F14" t="s">
        <v>20</v>
      </c>
      <c r="G14">
        <v>0</v>
      </c>
      <c r="H14">
        <v>185</v>
      </c>
      <c r="I14" t="s">
        <v>17</v>
      </c>
      <c r="J14">
        <v>0</v>
      </c>
      <c r="K14">
        <v>2</v>
      </c>
      <c r="L14">
        <v>0</v>
      </c>
      <c r="M14">
        <v>2</v>
      </c>
      <c r="N14" t="s">
        <v>18</v>
      </c>
    </row>
    <row r="15" spans="1:14" x14ac:dyDescent="0.3">
      <c r="A15">
        <v>57</v>
      </c>
      <c r="B15" t="s">
        <v>21</v>
      </c>
      <c r="C15" t="s">
        <v>23</v>
      </c>
      <c r="D15">
        <v>128</v>
      </c>
      <c r="E15">
        <v>303</v>
      </c>
      <c r="F15" t="s">
        <v>20</v>
      </c>
      <c r="G15">
        <v>0</v>
      </c>
      <c r="H15">
        <v>159</v>
      </c>
      <c r="I15" t="s">
        <v>17</v>
      </c>
      <c r="J15">
        <v>0</v>
      </c>
      <c r="K15">
        <v>2</v>
      </c>
      <c r="L15">
        <v>1</v>
      </c>
      <c r="M15">
        <v>2</v>
      </c>
      <c r="N15" t="s">
        <v>18</v>
      </c>
    </row>
    <row r="16" spans="1:14" x14ac:dyDescent="0.3">
      <c r="A16">
        <v>35</v>
      </c>
      <c r="B16" t="s">
        <v>21</v>
      </c>
      <c r="C16" t="s">
        <v>23</v>
      </c>
      <c r="D16">
        <v>138</v>
      </c>
      <c r="E16">
        <v>183</v>
      </c>
      <c r="F16" t="s">
        <v>20</v>
      </c>
      <c r="G16">
        <v>1</v>
      </c>
      <c r="H16">
        <v>182</v>
      </c>
      <c r="I16" t="s">
        <v>17</v>
      </c>
      <c r="J16">
        <v>1.4</v>
      </c>
      <c r="K16">
        <v>2</v>
      </c>
      <c r="L16">
        <v>0</v>
      </c>
      <c r="M16">
        <v>2</v>
      </c>
      <c r="N16" t="s">
        <v>18</v>
      </c>
    </row>
    <row r="17" spans="1:14" x14ac:dyDescent="0.3">
      <c r="A17">
        <v>62</v>
      </c>
      <c r="B17" t="s">
        <v>21</v>
      </c>
      <c r="C17" t="s">
        <v>23</v>
      </c>
      <c r="D17">
        <v>124</v>
      </c>
      <c r="E17">
        <v>209</v>
      </c>
      <c r="F17" t="s">
        <v>20</v>
      </c>
      <c r="G17">
        <v>1</v>
      </c>
      <c r="H17">
        <v>163</v>
      </c>
      <c r="I17" t="s">
        <v>17</v>
      </c>
      <c r="J17">
        <v>0</v>
      </c>
      <c r="K17">
        <v>2</v>
      </c>
      <c r="L17">
        <v>0</v>
      </c>
      <c r="M17">
        <v>2</v>
      </c>
      <c r="N17" t="s">
        <v>18</v>
      </c>
    </row>
    <row r="18" spans="1:14" x14ac:dyDescent="0.3">
      <c r="A18">
        <v>51</v>
      </c>
      <c r="B18" t="s">
        <v>14</v>
      </c>
      <c r="C18" t="s">
        <v>23</v>
      </c>
      <c r="D18">
        <v>140</v>
      </c>
      <c r="E18">
        <v>261</v>
      </c>
      <c r="F18" t="s">
        <v>20</v>
      </c>
      <c r="G18">
        <v>0</v>
      </c>
      <c r="H18">
        <v>186</v>
      </c>
      <c r="I18" t="s">
        <v>24</v>
      </c>
      <c r="J18">
        <v>0</v>
      </c>
      <c r="K18">
        <v>2</v>
      </c>
      <c r="L18">
        <v>0</v>
      </c>
      <c r="M18">
        <v>2</v>
      </c>
      <c r="N18" t="s">
        <v>18</v>
      </c>
    </row>
    <row r="19" spans="1:14" x14ac:dyDescent="0.3">
      <c r="A19">
        <v>42</v>
      </c>
      <c r="B19" t="s">
        <v>21</v>
      </c>
      <c r="C19" t="s">
        <v>23</v>
      </c>
      <c r="D19">
        <v>102</v>
      </c>
      <c r="E19">
        <v>265</v>
      </c>
      <c r="F19" t="s">
        <v>20</v>
      </c>
      <c r="G19">
        <v>0</v>
      </c>
      <c r="H19">
        <v>122</v>
      </c>
      <c r="I19" t="s">
        <v>17</v>
      </c>
      <c r="J19">
        <v>0.6</v>
      </c>
      <c r="K19">
        <v>1</v>
      </c>
      <c r="L19">
        <v>0</v>
      </c>
      <c r="M19">
        <v>2</v>
      </c>
      <c r="N19" t="s">
        <v>18</v>
      </c>
    </row>
    <row r="20" spans="1:14" x14ac:dyDescent="0.3">
      <c r="A20">
        <v>58</v>
      </c>
      <c r="B20" t="s">
        <v>21</v>
      </c>
      <c r="C20" t="s">
        <v>23</v>
      </c>
      <c r="D20">
        <v>100</v>
      </c>
      <c r="E20">
        <v>248</v>
      </c>
      <c r="F20" t="s">
        <v>20</v>
      </c>
      <c r="G20">
        <v>0</v>
      </c>
      <c r="H20">
        <v>122</v>
      </c>
      <c r="I20" t="s">
        <v>17</v>
      </c>
      <c r="J20">
        <v>1</v>
      </c>
      <c r="K20">
        <v>1</v>
      </c>
      <c r="L20">
        <v>0</v>
      </c>
      <c r="M20">
        <v>2</v>
      </c>
      <c r="N20" t="s">
        <v>18</v>
      </c>
    </row>
    <row r="21" spans="1:14" x14ac:dyDescent="0.3">
      <c r="A21">
        <v>57</v>
      </c>
      <c r="B21" t="s">
        <v>14</v>
      </c>
      <c r="C21" t="s">
        <v>23</v>
      </c>
      <c r="D21">
        <v>132</v>
      </c>
      <c r="E21">
        <v>207</v>
      </c>
      <c r="F21" t="s">
        <v>20</v>
      </c>
      <c r="G21">
        <v>1</v>
      </c>
      <c r="H21">
        <v>168</v>
      </c>
      <c r="I21" t="s">
        <v>24</v>
      </c>
      <c r="J21">
        <v>0</v>
      </c>
      <c r="K21">
        <v>2</v>
      </c>
      <c r="L21">
        <v>0</v>
      </c>
      <c r="M21">
        <v>3</v>
      </c>
      <c r="N21" t="s">
        <v>18</v>
      </c>
    </row>
    <row r="22" spans="1:14" x14ac:dyDescent="0.3">
      <c r="A22">
        <v>53</v>
      </c>
      <c r="B22" t="s">
        <v>14</v>
      </c>
      <c r="C22" t="s">
        <v>23</v>
      </c>
      <c r="D22">
        <v>142</v>
      </c>
      <c r="E22">
        <v>226</v>
      </c>
      <c r="F22" t="s">
        <v>20</v>
      </c>
      <c r="G22">
        <v>0</v>
      </c>
      <c r="H22">
        <v>111</v>
      </c>
      <c r="I22" t="s">
        <v>24</v>
      </c>
      <c r="J22">
        <v>0</v>
      </c>
      <c r="K22">
        <v>2</v>
      </c>
      <c r="L22">
        <v>0</v>
      </c>
      <c r="M22">
        <v>3</v>
      </c>
      <c r="N22" t="s">
        <v>18</v>
      </c>
    </row>
    <row r="23" spans="1:14" x14ac:dyDescent="0.3">
      <c r="A23">
        <v>62</v>
      </c>
      <c r="B23" t="s">
        <v>21</v>
      </c>
      <c r="C23" t="s">
        <v>23</v>
      </c>
      <c r="D23">
        <v>140</v>
      </c>
      <c r="E23">
        <v>394</v>
      </c>
      <c r="F23" t="s">
        <v>20</v>
      </c>
      <c r="G23">
        <v>0</v>
      </c>
      <c r="H23">
        <v>157</v>
      </c>
      <c r="I23" t="s">
        <v>17</v>
      </c>
      <c r="J23">
        <v>1.2</v>
      </c>
      <c r="K23">
        <v>1</v>
      </c>
      <c r="L23">
        <v>0</v>
      </c>
      <c r="M23">
        <v>2</v>
      </c>
      <c r="N23" t="s">
        <v>18</v>
      </c>
    </row>
    <row r="24" spans="1:14" x14ac:dyDescent="0.3">
      <c r="A24">
        <v>52</v>
      </c>
      <c r="B24" t="s">
        <v>14</v>
      </c>
      <c r="C24" t="s">
        <v>23</v>
      </c>
      <c r="D24">
        <v>108</v>
      </c>
      <c r="E24">
        <v>233</v>
      </c>
      <c r="F24" t="s">
        <v>16</v>
      </c>
      <c r="G24">
        <v>1</v>
      </c>
      <c r="H24">
        <v>147</v>
      </c>
      <c r="I24" t="s">
        <v>17</v>
      </c>
      <c r="J24">
        <v>0.1</v>
      </c>
      <c r="K24">
        <v>2</v>
      </c>
      <c r="L24">
        <v>3</v>
      </c>
      <c r="M24">
        <v>3</v>
      </c>
      <c r="N24" t="s">
        <v>18</v>
      </c>
    </row>
    <row r="25" spans="1:14" x14ac:dyDescent="0.3">
      <c r="A25">
        <v>45</v>
      </c>
      <c r="B25" t="s">
        <v>21</v>
      </c>
      <c r="C25" t="s">
        <v>23</v>
      </c>
      <c r="D25">
        <v>138</v>
      </c>
      <c r="E25">
        <v>236</v>
      </c>
      <c r="F25" t="s">
        <v>20</v>
      </c>
      <c r="G25">
        <v>0</v>
      </c>
      <c r="H25">
        <v>152</v>
      </c>
      <c r="I25" t="s">
        <v>24</v>
      </c>
      <c r="J25">
        <v>0.2</v>
      </c>
      <c r="K25">
        <v>1</v>
      </c>
      <c r="L25">
        <v>0</v>
      </c>
      <c r="M25">
        <v>2</v>
      </c>
      <c r="N25" t="s">
        <v>18</v>
      </c>
    </row>
    <row r="26" spans="1:14" x14ac:dyDescent="0.3">
      <c r="A26">
        <v>50</v>
      </c>
      <c r="B26" t="s">
        <v>21</v>
      </c>
      <c r="C26" t="s">
        <v>23</v>
      </c>
      <c r="D26">
        <v>110</v>
      </c>
      <c r="E26">
        <v>254</v>
      </c>
      <c r="F26" t="s">
        <v>20</v>
      </c>
      <c r="G26">
        <v>0</v>
      </c>
      <c r="H26">
        <v>159</v>
      </c>
      <c r="I26" t="s">
        <v>17</v>
      </c>
      <c r="J26">
        <v>0</v>
      </c>
      <c r="K26">
        <v>2</v>
      </c>
      <c r="L26">
        <v>0</v>
      </c>
      <c r="M26">
        <v>2</v>
      </c>
      <c r="N26" t="s">
        <v>18</v>
      </c>
    </row>
    <row r="27" spans="1:14" x14ac:dyDescent="0.3">
      <c r="A27">
        <v>64</v>
      </c>
      <c r="B27" t="s">
        <v>21</v>
      </c>
      <c r="C27" t="s">
        <v>23</v>
      </c>
      <c r="D27">
        <v>180</v>
      </c>
      <c r="E27">
        <v>325</v>
      </c>
      <c r="F27" t="s">
        <v>20</v>
      </c>
      <c r="G27">
        <v>1</v>
      </c>
      <c r="H27">
        <v>154</v>
      </c>
      <c r="I27" t="s">
        <v>24</v>
      </c>
      <c r="J27">
        <v>0</v>
      </c>
      <c r="K27">
        <v>2</v>
      </c>
      <c r="L27">
        <v>0</v>
      </c>
      <c r="M27">
        <v>2</v>
      </c>
      <c r="N27" t="s">
        <v>18</v>
      </c>
    </row>
    <row r="28" spans="1:14" x14ac:dyDescent="0.3">
      <c r="A28">
        <v>43</v>
      </c>
      <c r="B28" t="s">
        <v>14</v>
      </c>
      <c r="C28" t="s">
        <v>23</v>
      </c>
      <c r="D28">
        <v>110</v>
      </c>
      <c r="E28">
        <v>211</v>
      </c>
      <c r="F28" t="s">
        <v>20</v>
      </c>
      <c r="G28">
        <v>1</v>
      </c>
      <c r="H28">
        <v>161</v>
      </c>
      <c r="I28" t="s">
        <v>17</v>
      </c>
      <c r="J28">
        <v>0</v>
      </c>
      <c r="K28">
        <v>2</v>
      </c>
      <c r="L28">
        <v>0</v>
      </c>
      <c r="M28">
        <v>3</v>
      </c>
      <c r="N28" t="s">
        <v>18</v>
      </c>
    </row>
    <row r="29" spans="1:14" x14ac:dyDescent="0.3">
      <c r="A29">
        <v>46</v>
      </c>
      <c r="B29" t="s">
        <v>21</v>
      </c>
      <c r="C29" t="s">
        <v>23</v>
      </c>
      <c r="D29">
        <v>138</v>
      </c>
      <c r="E29">
        <v>243</v>
      </c>
      <c r="F29" t="s">
        <v>20</v>
      </c>
      <c r="G29">
        <v>0</v>
      </c>
      <c r="H29">
        <v>152</v>
      </c>
      <c r="I29" t="s">
        <v>24</v>
      </c>
      <c r="J29">
        <v>0</v>
      </c>
      <c r="K29">
        <v>1</v>
      </c>
      <c r="L29">
        <v>0</v>
      </c>
      <c r="M29">
        <v>2</v>
      </c>
      <c r="N29" t="s">
        <v>18</v>
      </c>
    </row>
    <row r="30" spans="1:14" x14ac:dyDescent="0.3">
      <c r="A30">
        <v>64</v>
      </c>
      <c r="B30" t="s">
        <v>21</v>
      </c>
      <c r="C30" t="s">
        <v>23</v>
      </c>
      <c r="D30">
        <v>130</v>
      </c>
      <c r="E30">
        <v>303</v>
      </c>
      <c r="F30" t="s">
        <v>20</v>
      </c>
      <c r="G30">
        <v>1</v>
      </c>
      <c r="H30">
        <v>122</v>
      </c>
      <c r="I30" t="s">
        <v>17</v>
      </c>
      <c r="J30">
        <v>2</v>
      </c>
      <c r="K30">
        <v>1</v>
      </c>
      <c r="L30">
        <v>2</v>
      </c>
      <c r="M30">
        <v>2</v>
      </c>
      <c r="N30" t="s">
        <v>18</v>
      </c>
    </row>
    <row r="31" spans="1:14" x14ac:dyDescent="0.3">
      <c r="A31">
        <v>59</v>
      </c>
      <c r="B31" t="s">
        <v>14</v>
      </c>
      <c r="C31" t="s">
        <v>23</v>
      </c>
      <c r="D31">
        <v>138</v>
      </c>
      <c r="E31">
        <v>271</v>
      </c>
      <c r="F31" t="s">
        <v>20</v>
      </c>
      <c r="G31">
        <v>0</v>
      </c>
      <c r="H31">
        <v>182</v>
      </c>
      <c r="I31" t="s">
        <v>17</v>
      </c>
      <c r="J31">
        <v>0</v>
      </c>
      <c r="K31">
        <v>2</v>
      </c>
      <c r="L31">
        <v>0</v>
      </c>
      <c r="M31">
        <v>2</v>
      </c>
      <c r="N31" t="s">
        <v>18</v>
      </c>
    </row>
    <row r="32" spans="1:14" x14ac:dyDescent="0.3">
      <c r="A32">
        <v>47</v>
      </c>
      <c r="B32" t="s">
        <v>14</v>
      </c>
      <c r="C32" t="s">
        <v>23</v>
      </c>
      <c r="D32">
        <v>112</v>
      </c>
      <c r="E32">
        <v>204</v>
      </c>
      <c r="F32" t="s">
        <v>20</v>
      </c>
      <c r="G32">
        <v>1</v>
      </c>
      <c r="H32">
        <v>143</v>
      </c>
      <c r="I32" t="s">
        <v>17</v>
      </c>
      <c r="J32">
        <v>0.1</v>
      </c>
      <c r="K32">
        <v>2</v>
      </c>
      <c r="L32">
        <v>0</v>
      </c>
      <c r="M32">
        <v>2</v>
      </c>
      <c r="N32" t="s">
        <v>18</v>
      </c>
    </row>
    <row r="33" spans="1:14" x14ac:dyDescent="0.3">
      <c r="A33">
        <v>49</v>
      </c>
      <c r="B33" t="s">
        <v>21</v>
      </c>
      <c r="C33" t="s">
        <v>23</v>
      </c>
      <c r="D33">
        <v>130</v>
      </c>
      <c r="E33">
        <v>269</v>
      </c>
      <c r="F33" t="s">
        <v>20</v>
      </c>
      <c r="G33">
        <v>1</v>
      </c>
      <c r="H33">
        <v>163</v>
      </c>
      <c r="I33" t="s">
        <v>17</v>
      </c>
      <c r="J33">
        <v>0</v>
      </c>
      <c r="K33">
        <v>2</v>
      </c>
      <c r="L33">
        <v>0</v>
      </c>
      <c r="M33">
        <v>2</v>
      </c>
      <c r="N33" t="s">
        <v>18</v>
      </c>
    </row>
    <row r="34" spans="1:14" x14ac:dyDescent="0.3">
      <c r="A34">
        <v>57</v>
      </c>
      <c r="B34" t="s">
        <v>14</v>
      </c>
      <c r="C34" t="s">
        <v>23</v>
      </c>
      <c r="D34">
        <v>110</v>
      </c>
      <c r="E34">
        <v>201</v>
      </c>
      <c r="F34" t="s">
        <v>20</v>
      </c>
      <c r="G34">
        <v>1</v>
      </c>
      <c r="H34">
        <v>126</v>
      </c>
      <c r="I34" t="s">
        <v>24</v>
      </c>
      <c r="J34">
        <v>1.5</v>
      </c>
      <c r="K34">
        <v>1</v>
      </c>
      <c r="L34">
        <v>0</v>
      </c>
      <c r="M34">
        <v>1</v>
      </c>
      <c r="N34" t="s">
        <v>18</v>
      </c>
    </row>
    <row r="35" spans="1:14" x14ac:dyDescent="0.3">
      <c r="A35">
        <v>64</v>
      </c>
      <c r="B35" t="s">
        <v>14</v>
      </c>
      <c r="C35" t="s">
        <v>23</v>
      </c>
      <c r="D35">
        <v>128</v>
      </c>
      <c r="E35">
        <v>263</v>
      </c>
      <c r="F35" t="s">
        <v>20</v>
      </c>
      <c r="G35">
        <v>1</v>
      </c>
      <c r="H35">
        <v>105</v>
      </c>
      <c r="I35" t="s">
        <v>24</v>
      </c>
      <c r="J35">
        <v>0.2</v>
      </c>
      <c r="K35">
        <v>1</v>
      </c>
      <c r="L35">
        <v>1</v>
      </c>
      <c r="M35">
        <v>3</v>
      </c>
      <c r="N35" t="s">
        <v>18</v>
      </c>
    </row>
    <row r="36" spans="1:14" x14ac:dyDescent="0.3">
      <c r="A36">
        <v>43</v>
      </c>
      <c r="B36" t="s">
        <v>14</v>
      </c>
      <c r="C36" t="s">
        <v>23</v>
      </c>
      <c r="D36">
        <v>115</v>
      </c>
      <c r="E36">
        <v>303</v>
      </c>
      <c r="F36" t="s">
        <v>20</v>
      </c>
      <c r="G36">
        <v>1</v>
      </c>
      <c r="H36">
        <v>181</v>
      </c>
      <c r="I36" t="s">
        <v>17</v>
      </c>
      <c r="J36">
        <v>1.2</v>
      </c>
      <c r="K36">
        <v>1</v>
      </c>
      <c r="L36">
        <v>0</v>
      </c>
      <c r="M36">
        <v>2</v>
      </c>
      <c r="N36" t="s">
        <v>18</v>
      </c>
    </row>
    <row r="37" spans="1:14" x14ac:dyDescent="0.3">
      <c r="A37">
        <v>67</v>
      </c>
      <c r="B37" t="s">
        <v>21</v>
      </c>
      <c r="C37" t="s">
        <v>23</v>
      </c>
      <c r="D37">
        <v>106</v>
      </c>
      <c r="E37">
        <v>223</v>
      </c>
      <c r="F37" t="s">
        <v>20</v>
      </c>
      <c r="G37">
        <v>1</v>
      </c>
      <c r="H37">
        <v>142</v>
      </c>
      <c r="I37" t="s">
        <v>17</v>
      </c>
      <c r="J37">
        <v>0.3</v>
      </c>
      <c r="K37">
        <v>2</v>
      </c>
      <c r="L37">
        <v>2</v>
      </c>
      <c r="M37">
        <v>2</v>
      </c>
      <c r="N37" t="s">
        <v>18</v>
      </c>
    </row>
    <row r="38" spans="1:14" x14ac:dyDescent="0.3">
      <c r="A38">
        <v>66</v>
      </c>
      <c r="B38" t="s">
        <v>14</v>
      </c>
      <c r="C38" t="s">
        <v>23</v>
      </c>
      <c r="D38">
        <v>160</v>
      </c>
      <c r="E38">
        <v>228</v>
      </c>
      <c r="F38" t="s">
        <v>20</v>
      </c>
      <c r="G38">
        <v>0</v>
      </c>
      <c r="H38">
        <v>138</v>
      </c>
      <c r="I38" t="s">
        <v>17</v>
      </c>
      <c r="J38">
        <v>2.2999999999999998</v>
      </c>
      <c r="K38">
        <v>2</v>
      </c>
      <c r="L38">
        <v>0</v>
      </c>
      <c r="M38">
        <v>1</v>
      </c>
      <c r="N38" t="s">
        <v>18</v>
      </c>
    </row>
    <row r="39" spans="1:14" x14ac:dyDescent="0.3">
      <c r="A39">
        <v>71</v>
      </c>
      <c r="B39" t="s">
        <v>21</v>
      </c>
      <c r="C39" t="s">
        <v>23</v>
      </c>
      <c r="D39">
        <v>112</v>
      </c>
      <c r="E39">
        <v>149</v>
      </c>
      <c r="F39" t="s">
        <v>20</v>
      </c>
      <c r="G39">
        <v>1</v>
      </c>
      <c r="H39">
        <v>125</v>
      </c>
      <c r="I39" t="s">
        <v>17</v>
      </c>
      <c r="J39">
        <v>1.6</v>
      </c>
      <c r="K39">
        <v>1</v>
      </c>
      <c r="L39">
        <v>0</v>
      </c>
      <c r="M39">
        <v>2</v>
      </c>
      <c r="N39" t="s">
        <v>18</v>
      </c>
    </row>
    <row r="40" spans="1:14" x14ac:dyDescent="0.3">
      <c r="A40">
        <v>58</v>
      </c>
      <c r="B40" t="s">
        <v>21</v>
      </c>
      <c r="C40" t="s">
        <v>23</v>
      </c>
      <c r="D40">
        <v>130</v>
      </c>
      <c r="E40">
        <v>197</v>
      </c>
      <c r="F40" t="s">
        <v>20</v>
      </c>
      <c r="G40">
        <v>1</v>
      </c>
      <c r="H40">
        <v>131</v>
      </c>
      <c r="I40" t="s">
        <v>17</v>
      </c>
      <c r="J40">
        <v>0.6</v>
      </c>
      <c r="K40">
        <v>1</v>
      </c>
      <c r="L40">
        <v>0</v>
      </c>
      <c r="M40">
        <v>2</v>
      </c>
      <c r="N40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16EF8-BE29-4232-BBF5-6020EAFBF5E1}">
  <dimension ref="A1:N139"/>
  <sheetViews>
    <sheetView topLeftCell="A22" workbookViewId="0">
      <selection activeCell="C1" sqref="C1:C1048576"/>
    </sheetView>
  </sheetViews>
  <sheetFormatPr defaultRowHeight="14.4" x14ac:dyDescent="0.3"/>
  <cols>
    <col min="1" max="1" width="3.6640625" bestFit="1" customWidth="1"/>
    <col min="2" max="2" width="8.44140625" bestFit="1" customWidth="1"/>
    <col min="3" max="3" width="18.109375" bestFit="1" customWidth="1"/>
    <col min="4" max="4" width="15.33203125" bestFit="1" customWidth="1"/>
    <col min="5" max="5" width="10.21875" bestFit="1" customWidth="1"/>
    <col min="6" max="6" width="15.33203125" bestFit="1" customWidth="1"/>
    <col min="7" max="7" width="10.109375" bestFit="1" customWidth="1"/>
    <col min="8" max="8" width="17.21875" bestFit="1" customWidth="1"/>
    <col min="9" max="9" width="12.77734375" bestFit="1" customWidth="1"/>
    <col min="10" max="10" width="13.6640625" bestFit="1" customWidth="1"/>
    <col min="11" max="11" width="11.6640625" bestFit="1" customWidth="1"/>
    <col min="12" max="12" width="12.88671875" bestFit="1" customWidth="1"/>
    <col min="13" max="13" width="9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35</v>
      </c>
      <c r="B2" t="s">
        <v>14</v>
      </c>
      <c r="C2" t="s">
        <v>23</v>
      </c>
      <c r="D2">
        <v>120</v>
      </c>
      <c r="E2">
        <v>198</v>
      </c>
      <c r="F2" t="s">
        <v>20</v>
      </c>
      <c r="G2">
        <v>1</v>
      </c>
      <c r="H2">
        <v>130</v>
      </c>
      <c r="I2" t="s">
        <v>24</v>
      </c>
      <c r="J2">
        <v>1.6</v>
      </c>
      <c r="K2">
        <v>1</v>
      </c>
      <c r="L2">
        <v>0</v>
      </c>
      <c r="M2">
        <v>3</v>
      </c>
      <c r="N2" t="s">
        <v>25</v>
      </c>
    </row>
    <row r="3" spans="1:14" x14ac:dyDescent="0.3">
      <c r="A3">
        <v>35</v>
      </c>
      <c r="B3" t="s">
        <v>14</v>
      </c>
      <c r="C3" t="s">
        <v>23</v>
      </c>
      <c r="D3">
        <v>126</v>
      </c>
      <c r="E3">
        <v>282</v>
      </c>
      <c r="F3" t="s">
        <v>20</v>
      </c>
      <c r="G3">
        <v>0</v>
      </c>
      <c r="H3">
        <v>156</v>
      </c>
      <c r="I3" t="s">
        <v>24</v>
      </c>
      <c r="J3">
        <v>0</v>
      </c>
      <c r="K3">
        <v>2</v>
      </c>
      <c r="L3">
        <v>0</v>
      </c>
      <c r="M3">
        <v>3</v>
      </c>
      <c r="N3" t="s">
        <v>25</v>
      </c>
    </row>
    <row r="4" spans="1:14" x14ac:dyDescent="0.3">
      <c r="A4">
        <v>38</v>
      </c>
      <c r="B4" t="s">
        <v>14</v>
      </c>
      <c r="C4" t="s">
        <v>15</v>
      </c>
      <c r="D4">
        <v>120</v>
      </c>
      <c r="E4">
        <v>231</v>
      </c>
      <c r="F4" t="s">
        <v>20</v>
      </c>
      <c r="G4">
        <v>1</v>
      </c>
      <c r="H4">
        <v>182</v>
      </c>
      <c r="I4" t="s">
        <v>24</v>
      </c>
      <c r="J4">
        <v>3.8</v>
      </c>
      <c r="K4">
        <v>1</v>
      </c>
      <c r="L4">
        <v>0</v>
      </c>
      <c r="M4">
        <v>3</v>
      </c>
      <c r="N4" t="s">
        <v>25</v>
      </c>
    </row>
    <row r="5" spans="1:14" x14ac:dyDescent="0.3">
      <c r="A5">
        <v>39</v>
      </c>
      <c r="B5" t="s">
        <v>14</v>
      </c>
      <c r="C5" t="s">
        <v>23</v>
      </c>
      <c r="D5">
        <v>118</v>
      </c>
      <c r="E5">
        <v>219</v>
      </c>
      <c r="F5" t="s">
        <v>20</v>
      </c>
      <c r="G5">
        <v>1</v>
      </c>
      <c r="H5">
        <v>140</v>
      </c>
      <c r="I5" t="s">
        <v>17</v>
      </c>
      <c r="J5">
        <v>1.2</v>
      </c>
      <c r="K5">
        <v>1</v>
      </c>
      <c r="L5">
        <v>0</v>
      </c>
      <c r="M5">
        <v>3</v>
      </c>
      <c r="N5" t="s">
        <v>25</v>
      </c>
    </row>
    <row r="6" spans="1:14" x14ac:dyDescent="0.3">
      <c r="A6">
        <v>40</v>
      </c>
      <c r="B6" t="s">
        <v>14</v>
      </c>
      <c r="C6" t="s">
        <v>23</v>
      </c>
      <c r="D6">
        <v>110</v>
      </c>
      <c r="E6">
        <v>167</v>
      </c>
      <c r="F6" t="s">
        <v>20</v>
      </c>
      <c r="G6">
        <v>0</v>
      </c>
      <c r="H6">
        <v>114</v>
      </c>
      <c r="I6" t="s">
        <v>24</v>
      </c>
      <c r="J6">
        <v>2</v>
      </c>
      <c r="K6">
        <v>1</v>
      </c>
      <c r="L6">
        <v>0</v>
      </c>
      <c r="M6">
        <v>3</v>
      </c>
      <c r="N6" t="s">
        <v>25</v>
      </c>
    </row>
    <row r="7" spans="1:14" x14ac:dyDescent="0.3">
      <c r="A7">
        <v>40</v>
      </c>
      <c r="B7" t="s">
        <v>14</v>
      </c>
      <c r="C7" t="s">
        <v>23</v>
      </c>
      <c r="D7">
        <v>152</v>
      </c>
      <c r="E7">
        <v>223</v>
      </c>
      <c r="F7" t="s">
        <v>20</v>
      </c>
      <c r="G7">
        <v>1</v>
      </c>
      <c r="H7">
        <v>181</v>
      </c>
      <c r="I7" t="s">
        <v>17</v>
      </c>
      <c r="J7">
        <v>0</v>
      </c>
      <c r="K7">
        <v>2</v>
      </c>
      <c r="L7">
        <v>0</v>
      </c>
      <c r="M7">
        <v>3</v>
      </c>
      <c r="N7" t="s">
        <v>25</v>
      </c>
    </row>
    <row r="8" spans="1:14" x14ac:dyDescent="0.3">
      <c r="A8">
        <v>41</v>
      </c>
      <c r="B8" t="s">
        <v>14</v>
      </c>
      <c r="C8" t="s">
        <v>23</v>
      </c>
      <c r="D8">
        <v>110</v>
      </c>
      <c r="E8">
        <v>172</v>
      </c>
      <c r="F8" t="s">
        <v>20</v>
      </c>
      <c r="G8">
        <v>0</v>
      </c>
      <c r="H8">
        <v>158</v>
      </c>
      <c r="I8" t="s">
        <v>17</v>
      </c>
      <c r="J8">
        <v>0</v>
      </c>
      <c r="K8">
        <v>2</v>
      </c>
      <c r="L8">
        <v>0</v>
      </c>
      <c r="M8">
        <v>3</v>
      </c>
      <c r="N8" t="s">
        <v>25</v>
      </c>
    </row>
    <row r="9" spans="1:14" x14ac:dyDescent="0.3">
      <c r="A9">
        <v>42</v>
      </c>
      <c r="B9" t="s">
        <v>14</v>
      </c>
      <c r="C9" t="s">
        <v>23</v>
      </c>
      <c r="D9">
        <v>136</v>
      </c>
      <c r="E9">
        <v>315</v>
      </c>
      <c r="F9" t="s">
        <v>20</v>
      </c>
      <c r="G9">
        <v>1</v>
      </c>
      <c r="H9">
        <v>125</v>
      </c>
      <c r="I9" t="s">
        <v>24</v>
      </c>
      <c r="J9">
        <v>1.8</v>
      </c>
      <c r="K9">
        <v>1</v>
      </c>
      <c r="L9">
        <v>0</v>
      </c>
      <c r="M9">
        <v>1</v>
      </c>
      <c r="N9" t="s">
        <v>25</v>
      </c>
    </row>
    <row r="10" spans="1:14" x14ac:dyDescent="0.3">
      <c r="A10">
        <v>43</v>
      </c>
      <c r="B10" t="s">
        <v>14</v>
      </c>
      <c r="C10" t="s">
        <v>23</v>
      </c>
      <c r="D10">
        <v>120</v>
      </c>
      <c r="E10">
        <v>177</v>
      </c>
      <c r="F10" t="s">
        <v>20</v>
      </c>
      <c r="G10">
        <v>0</v>
      </c>
      <c r="H10">
        <v>120</v>
      </c>
      <c r="I10" t="s">
        <v>24</v>
      </c>
      <c r="J10">
        <v>2.5</v>
      </c>
      <c r="K10">
        <v>1</v>
      </c>
      <c r="L10">
        <v>0</v>
      </c>
      <c r="M10">
        <v>3</v>
      </c>
      <c r="N10" t="s">
        <v>25</v>
      </c>
    </row>
    <row r="11" spans="1:14" x14ac:dyDescent="0.3">
      <c r="A11">
        <v>43</v>
      </c>
      <c r="B11" t="s">
        <v>21</v>
      </c>
      <c r="C11" t="s">
        <v>23</v>
      </c>
      <c r="D11">
        <v>132</v>
      </c>
      <c r="E11">
        <v>341</v>
      </c>
      <c r="F11" t="s">
        <v>16</v>
      </c>
      <c r="G11">
        <v>0</v>
      </c>
      <c r="H11">
        <v>136</v>
      </c>
      <c r="I11" t="s">
        <v>24</v>
      </c>
      <c r="J11">
        <v>3</v>
      </c>
      <c r="K11">
        <v>1</v>
      </c>
      <c r="L11">
        <v>0</v>
      </c>
      <c r="M11">
        <v>3</v>
      </c>
      <c r="N11" t="s">
        <v>25</v>
      </c>
    </row>
    <row r="12" spans="1:14" x14ac:dyDescent="0.3">
      <c r="A12">
        <v>43</v>
      </c>
      <c r="B12" t="s">
        <v>14</v>
      </c>
      <c r="C12" t="s">
        <v>23</v>
      </c>
      <c r="D12">
        <v>132</v>
      </c>
      <c r="E12">
        <v>247</v>
      </c>
      <c r="F12" t="s">
        <v>16</v>
      </c>
      <c r="G12">
        <v>0</v>
      </c>
      <c r="H12">
        <v>143</v>
      </c>
      <c r="I12" t="s">
        <v>24</v>
      </c>
      <c r="J12">
        <v>0.1</v>
      </c>
      <c r="K12">
        <v>1</v>
      </c>
      <c r="L12">
        <v>4</v>
      </c>
      <c r="M12">
        <v>3</v>
      </c>
      <c r="N12" t="s">
        <v>25</v>
      </c>
    </row>
    <row r="13" spans="1:14" x14ac:dyDescent="0.3">
      <c r="A13">
        <v>44</v>
      </c>
      <c r="B13" t="s">
        <v>14</v>
      </c>
      <c r="C13" t="s">
        <v>23</v>
      </c>
      <c r="D13">
        <v>112</v>
      </c>
      <c r="E13">
        <v>290</v>
      </c>
      <c r="F13" t="s">
        <v>20</v>
      </c>
      <c r="G13">
        <v>0</v>
      </c>
      <c r="H13">
        <v>153</v>
      </c>
      <c r="I13" t="s">
        <v>17</v>
      </c>
      <c r="J13">
        <v>0</v>
      </c>
      <c r="K13">
        <v>2</v>
      </c>
      <c r="L13">
        <v>1</v>
      </c>
      <c r="M13">
        <v>2</v>
      </c>
      <c r="N13" t="s">
        <v>25</v>
      </c>
    </row>
    <row r="14" spans="1:14" x14ac:dyDescent="0.3">
      <c r="A14">
        <v>44</v>
      </c>
      <c r="B14" t="s">
        <v>14</v>
      </c>
      <c r="C14" t="s">
        <v>23</v>
      </c>
      <c r="D14">
        <v>110</v>
      </c>
      <c r="E14">
        <v>197</v>
      </c>
      <c r="F14" t="s">
        <v>20</v>
      </c>
      <c r="G14">
        <v>0</v>
      </c>
      <c r="H14">
        <v>177</v>
      </c>
      <c r="I14" t="s">
        <v>17</v>
      </c>
      <c r="J14">
        <v>0</v>
      </c>
      <c r="K14">
        <v>2</v>
      </c>
      <c r="L14">
        <v>1</v>
      </c>
      <c r="M14">
        <v>2</v>
      </c>
      <c r="N14" t="s">
        <v>25</v>
      </c>
    </row>
    <row r="15" spans="1:14" x14ac:dyDescent="0.3">
      <c r="A15">
        <v>44</v>
      </c>
      <c r="B15" t="s">
        <v>14</v>
      </c>
      <c r="C15" t="s">
        <v>23</v>
      </c>
      <c r="D15">
        <v>120</v>
      </c>
      <c r="E15">
        <v>169</v>
      </c>
      <c r="F15" t="s">
        <v>20</v>
      </c>
      <c r="G15">
        <v>1</v>
      </c>
      <c r="H15">
        <v>144</v>
      </c>
      <c r="I15" t="s">
        <v>24</v>
      </c>
      <c r="J15">
        <v>2.8</v>
      </c>
      <c r="K15">
        <v>0</v>
      </c>
      <c r="L15">
        <v>0</v>
      </c>
      <c r="M15">
        <v>1</v>
      </c>
      <c r="N15" t="s">
        <v>25</v>
      </c>
    </row>
    <row r="16" spans="1:14" x14ac:dyDescent="0.3">
      <c r="A16">
        <v>45</v>
      </c>
      <c r="B16" t="s">
        <v>14</v>
      </c>
      <c r="C16" t="s">
        <v>23</v>
      </c>
      <c r="D16">
        <v>142</v>
      </c>
      <c r="E16">
        <v>309</v>
      </c>
      <c r="F16" t="s">
        <v>20</v>
      </c>
      <c r="G16">
        <v>0</v>
      </c>
      <c r="H16">
        <v>147</v>
      </c>
      <c r="I16" t="s">
        <v>24</v>
      </c>
      <c r="J16">
        <v>0</v>
      </c>
      <c r="K16">
        <v>1</v>
      </c>
      <c r="L16">
        <v>3</v>
      </c>
      <c r="M16">
        <v>3</v>
      </c>
      <c r="N16" t="s">
        <v>25</v>
      </c>
    </row>
    <row r="17" spans="1:14" x14ac:dyDescent="0.3">
      <c r="A17">
        <v>45</v>
      </c>
      <c r="B17" t="s">
        <v>14</v>
      </c>
      <c r="C17" t="s">
        <v>15</v>
      </c>
      <c r="D17">
        <v>110</v>
      </c>
      <c r="E17">
        <v>264</v>
      </c>
      <c r="F17" t="s">
        <v>20</v>
      </c>
      <c r="G17">
        <v>1</v>
      </c>
      <c r="H17">
        <v>132</v>
      </c>
      <c r="I17" t="s">
        <v>17</v>
      </c>
      <c r="J17">
        <v>1.2</v>
      </c>
      <c r="K17">
        <v>1</v>
      </c>
      <c r="L17">
        <v>0</v>
      </c>
      <c r="M17">
        <v>3</v>
      </c>
      <c r="N17" t="s">
        <v>25</v>
      </c>
    </row>
    <row r="18" spans="1:14" x14ac:dyDescent="0.3">
      <c r="A18">
        <v>46</v>
      </c>
      <c r="B18" t="s">
        <v>14</v>
      </c>
      <c r="C18" t="s">
        <v>19</v>
      </c>
      <c r="D18">
        <v>150</v>
      </c>
      <c r="E18">
        <v>231</v>
      </c>
      <c r="F18" t="s">
        <v>20</v>
      </c>
      <c r="G18">
        <v>1</v>
      </c>
      <c r="H18">
        <v>147</v>
      </c>
      <c r="I18" t="s">
        <v>17</v>
      </c>
      <c r="J18">
        <v>3.6</v>
      </c>
      <c r="K18">
        <v>1</v>
      </c>
      <c r="L18">
        <v>0</v>
      </c>
      <c r="M18">
        <v>2</v>
      </c>
      <c r="N18" t="s">
        <v>25</v>
      </c>
    </row>
    <row r="19" spans="1:14" x14ac:dyDescent="0.3">
      <c r="A19">
        <v>46</v>
      </c>
      <c r="B19" t="s">
        <v>14</v>
      </c>
      <c r="C19" t="s">
        <v>23</v>
      </c>
      <c r="D19">
        <v>120</v>
      </c>
      <c r="E19">
        <v>249</v>
      </c>
      <c r="F19" t="s">
        <v>20</v>
      </c>
      <c r="G19">
        <v>0</v>
      </c>
      <c r="H19">
        <v>144</v>
      </c>
      <c r="I19" t="s">
        <v>17</v>
      </c>
      <c r="J19">
        <v>0.8</v>
      </c>
      <c r="K19">
        <v>2</v>
      </c>
      <c r="L19">
        <v>0</v>
      </c>
      <c r="M19">
        <v>3</v>
      </c>
      <c r="N19" t="s">
        <v>25</v>
      </c>
    </row>
    <row r="20" spans="1:14" x14ac:dyDescent="0.3">
      <c r="A20">
        <v>46</v>
      </c>
      <c r="B20" t="s">
        <v>14</v>
      </c>
      <c r="C20" t="s">
        <v>23</v>
      </c>
      <c r="D20">
        <v>140</v>
      </c>
      <c r="E20">
        <v>311</v>
      </c>
      <c r="F20" t="s">
        <v>20</v>
      </c>
      <c r="G20">
        <v>1</v>
      </c>
      <c r="H20">
        <v>120</v>
      </c>
      <c r="I20" t="s">
        <v>24</v>
      </c>
      <c r="J20">
        <v>1.8</v>
      </c>
      <c r="K20">
        <v>1</v>
      </c>
      <c r="L20">
        <v>2</v>
      </c>
      <c r="M20">
        <v>3</v>
      </c>
      <c r="N20" t="s">
        <v>25</v>
      </c>
    </row>
    <row r="21" spans="1:14" x14ac:dyDescent="0.3">
      <c r="A21">
        <v>47</v>
      </c>
      <c r="B21" t="s">
        <v>14</v>
      </c>
      <c r="C21" t="s">
        <v>19</v>
      </c>
      <c r="D21">
        <v>108</v>
      </c>
      <c r="E21">
        <v>243</v>
      </c>
      <c r="F21" t="s">
        <v>20</v>
      </c>
      <c r="G21">
        <v>1</v>
      </c>
      <c r="H21">
        <v>152</v>
      </c>
      <c r="I21" t="s">
        <v>17</v>
      </c>
      <c r="J21">
        <v>0</v>
      </c>
      <c r="K21">
        <v>2</v>
      </c>
      <c r="L21">
        <v>0</v>
      </c>
      <c r="M21">
        <v>2</v>
      </c>
      <c r="N21" t="s">
        <v>25</v>
      </c>
    </row>
    <row r="22" spans="1:14" x14ac:dyDescent="0.3">
      <c r="A22">
        <v>47</v>
      </c>
      <c r="B22" t="s">
        <v>14</v>
      </c>
      <c r="C22" t="s">
        <v>23</v>
      </c>
      <c r="D22">
        <v>110</v>
      </c>
      <c r="E22">
        <v>275</v>
      </c>
      <c r="F22" t="s">
        <v>20</v>
      </c>
      <c r="G22">
        <v>0</v>
      </c>
      <c r="H22">
        <v>118</v>
      </c>
      <c r="I22" t="s">
        <v>24</v>
      </c>
      <c r="J22">
        <v>1</v>
      </c>
      <c r="K22">
        <v>1</v>
      </c>
      <c r="L22">
        <v>1</v>
      </c>
      <c r="M22">
        <v>2</v>
      </c>
      <c r="N22" t="s">
        <v>25</v>
      </c>
    </row>
    <row r="23" spans="1:14" x14ac:dyDescent="0.3">
      <c r="A23">
        <v>48</v>
      </c>
      <c r="B23" t="s">
        <v>14</v>
      </c>
      <c r="C23" t="s">
        <v>22</v>
      </c>
      <c r="D23">
        <v>110</v>
      </c>
      <c r="E23">
        <v>229</v>
      </c>
      <c r="F23" t="s">
        <v>20</v>
      </c>
      <c r="G23">
        <v>1</v>
      </c>
      <c r="H23">
        <v>168</v>
      </c>
      <c r="I23" t="s">
        <v>17</v>
      </c>
      <c r="J23">
        <v>1</v>
      </c>
      <c r="K23">
        <v>0</v>
      </c>
      <c r="L23">
        <v>0</v>
      </c>
      <c r="M23">
        <v>3</v>
      </c>
      <c r="N23" t="s">
        <v>25</v>
      </c>
    </row>
    <row r="24" spans="1:14" x14ac:dyDescent="0.3">
      <c r="A24">
        <v>48</v>
      </c>
      <c r="B24" t="s">
        <v>14</v>
      </c>
      <c r="C24" t="s">
        <v>23</v>
      </c>
      <c r="D24">
        <v>130</v>
      </c>
      <c r="E24">
        <v>256</v>
      </c>
      <c r="F24" t="s">
        <v>16</v>
      </c>
      <c r="G24">
        <v>0</v>
      </c>
      <c r="H24">
        <v>150</v>
      </c>
      <c r="I24" t="s">
        <v>24</v>
      </c>
      <c r="J24">
        <v>0</v>
      </c>
      <c r="K24">
        <v>2</v>
      </c>
      <c r="L24">
        <v>2</v>
      </c>
      <c r="M24">
        <v>3</v>
      </c>
      <c r="N24" t="s">
        <v>25</v>
      </c>
    </row>
    <row r="25" spans="1:14" x14ac:dyDescent="0.3">
      <c r="A25">
        <v>48</v>
      </c>
      <c r="B25" t="s">
        <v>14</v>
      </c>
      <c r="C25" t="s">
        <v>23</v>
      </c>
      <c r="D25">
        <v>124</v>
      </c>
      <c r="E25">
        <v>274</v>
      </c>
      <c r="F25" t="s">
        <v>20</v>
      </c>
      <c r="G25">
        <v>0</v>
      </c>
      <c r="H25">
        <v>166</v>
      </c>
      <c r="I25" t="s">
        <v>17</v>
      </c>
      <c r="J25">
        <v>0.5</v>
      </c>
      <c r="K25">
        <v>1</v>
      </c>
      <c r="L25">
        <v>0</v>
      </c>
      <c r="M25">
        <v>3</v>
      </c>
      <c r="N25" t="s">
        <v>25</v>
      </c>
    </row>
    <row r="26" spans="1:14" x14ac:dyDescent="0.3">
      <c r="A26">
        <v>49</v>
      </c>
      <c r="B26" t="s">
        <v>14</v>
      </c>
      <c r="C26" t="s">
        <v>19</v>
      </c>
      <c r="D26">
        <v>120</v>
      </c>
      <c r="E26">
        <v>188</v>
      </c>
      <c r="F26" t="s">
        <v>20</v>
      </c>
      <c r="G26">
        <v>1</v>
      </c>
      <c r="H26">
        <v>139</v>
      </c>
      <c r="I26" t="s">
        <v>17</v>
      </c>
      <c r="J26">
        <v>2</v>
      </c>
      <c r="K26">
        <v>1</v>
      </c>
      <c r="L26">
        <v>3</v>
      </c>
      <c r="M26">
        <v>3</v>
      </c>
      <c r="N26" t="s">
        <v>25</v>
      </c>
    </row>
    <row r="27" spans="1:14" x14ac:dyDescent="0.3">
      <c r="A27">
        <v>49</v>
      </c>
      <c r="B27" t="s">
        <v>14</v>
      </c>
      <c r="C27" t="s">
        <v>19</v>
      </c>
      <c r="D27">
        <v>118</v>
      </c>
      <c r="E27">
        <v>149</v>
      </c>
      <c r="F27" t="s">
        <v>20</v>
      </c>
      <c r="G27">
        <v>0</v>
      </c>
      <c r="H27">
        <v>126</v>
      </c>
      <c r="I27" t="s">
        <v>17</v>
      </c>
      <c r="J27">
        <v>0.8</v>
      </c>
      <c r="K27">
        <v>2</v>
      </c>
      <c r="L27">
        <v>3</v>
      </c>
      <c r="M27">
        <v>2</v>
      </c>
      <c r="N27" t="s">
        <v>25</v>
      </c>
    </row>
    <row r="28" spans="1:14" x14ac:dyDescent="0.3">
      <c r="A28">
        <v>50</v>
      </c>
      <c r="B28" t="s">
        <v>14</v>
      </c>
      <c r="C28" t="s">
        <v>23</v>
      </c>
      <c r="D28">
        <v>150</v>
      </c>
      <c r="E28">
        <v>243</v>
      </c>
      <c r="F28" t="s">
        <v>20</v>
      </c>
      <c r="G28">
        <v>0</v>
      </c>
      <c r="H28">
        <v>128</v>
      </c>
      <c r="I28" t="s">
        <v>17</v>
      </c>
      <c r="J28">
        <v>2.6</v>
      </c>
      <c r="K28">
        <v>1</v>
      </c>
      <c r="L28">
        <v>0</v>
      </c>
      <c r="M28">
        <v>3</v>
      </c>
      <c r="N28" t="s">
        <v>25</v>
      </c>
    </row>
    <row r="29" spans="1:14" x14ac:dyDescent="0.3">
      <c r="A29">
        <v>50</v>
      </c>
      <c r="B29" t="s">
        <v>14</v>
      </c>
      <c r="C29" t="s">
        <v>19</v>
      </c>
      <c r="D29">
        <v>140</v>
      </c>
      <c r="E29">
        <v>233</v>
      </c>
      <c r="F29" t="s">
        <v>20</v>
      </c>
      <c r="G29">
        <v>1</v>
      </c>
      <c r="H29">
        <v>163</v>
      </c>
      <c r="I29" t="s">
        <v>17</v>
      </c>
      <c r="J29">
        <v>0.6</v>
      </c>
      <c r="K29">
        <v>1</v>
      </c>
      <c r="L29">
        <v>1</v>
      </c>
      <c r="M29">
        <v>3</v>
      </c>
      <c r="N29" t="s">
        <v>25</v>
      </c>
    </row>
    <row r="30" spans="1:14" x14ac:dyDescent="0.3">
      <c r="A30">
        <v>50</v>
      </c>
      <c r="B30" t="s">
        <v>14</v>
      </c>
      <c r="C30" t="s">
        <v>23</v>
      </c>
      <c r="D30">
        <v>144</v>
      </c>
      <c r="E30">
        <v>200</v>
      </c>
      <c r="F30" t="s">
        <v>20</v>
      </c>
      <c r="G30">
        <v>0</v>
      </c>
      <c r="H30">
        <v>126</v>
      </c>
      <c r="I30" t="s">
        <v>24</v>
      </c>
      <c r="J30">
        <v>0.9</v>
      </c>
      <c r="K30">
        <v>1</v>
      </c>
      <c r="L30">
        <v>0</v>
      </c>
      <c r="M30">
        <v>3</v>
      </c>
      <c r="N30" t="s">
        <v>25</v>
      </c>
    </row>
    <row r="31" spans="1:14" x14ac:dyDescent="0.3">
      <c r="A31">
        <v>51</v>
      </c>
      <c r="B31" t="s">
        <v>21</v>
      </c>
      <c r="C31" t="s">
        <v>23</v>
      </c>
      <c r="D31">
        <v>130</v>
      </c>
      <c r="E31">
        <v>305</v>
      </c>
      <c r="F31" t="s">
        <v>20</v>
      </c>
      <c r="G31">
        <v>1</v>
      </c>
      <c r="H31">
        <v>142</v>
      </c>
      <c r="I31" t="s">
        <v>24</v>
      </c>
      <c r="J31">
        <v>1.2</v>
      </c>
      <c r="K31">
        <v>1</v>
      </c>
      <c r="L31">
        <v>0</v>
      </c>
      <c r="M31">
        <v>3</v>
      </c>
      <c r="N31" t="s">
        <v>25</v>
      </c>
    </row>
    <row r="32" spans="1:14" x14ac:dyDescent="0.3">
      <c r="A32">
        <v>51</v>
      </c>
      <c r="B32" t="s">
        <v>14</v>
      </c>
      <c r="C32" t="s">
        <v>23</v>
      </c>
      <c r="D32">
        <v>140</v>
      </c>
      <c r="E32">
        <v>299</v>
      </c>
      <c r="F32" t="s">
        <v>20</v>
      </c>
      <c r="G32">
        <v>1</v>
      </c>
      <c r="H32">
        <v>173</v>
      </c>
      <c r="I32" t="s">
        <v>24</v>
      </c>
      <c r="J32">
        <v>1.6</v>
      </c>
      <c r="K32">
        <v>2</v>
      </c>
      <c r="L32">
        <v>0</v>
      </c>
      <c r="M32">
        <v>3</v>
      </c>
      <c r="N32" t="s">
        <v>25</v>
      </c>
    </row>
    <row r="33" spans="1:14" x14ac:dyDescent="0.3">
      <c r="A33">
        <v>51</v>
      </c>
      <c r="B33" t="s">
        <v>14</v>
      </c>
      <c r="C33" t="s">
        <v>23</v>
      </c>
      <c r="D33">
        <v>140</v>
      </c>
      <c r="E33">
        <v>298</v>
      </c>
      <c r="F33" t="s">
        <v>20</v>
      </c>
      <c r="G33">
        <v>1</v>
      </c>
      <c r="H33">
        <v>122</v>
      </c>
      <c r="I33" t="s">
        <v>24</v>
      </c>
      <c r="J33">
        <v>4.2</v>
      </c>
      <c r="K33">
        <v>1</v>
      </c>
      <c r="L33">
        <v>3</v>
      </c>
      <c r="M33">
        <v>3</v>
      </c>
      <c r="N33" t="s">
        <v>25</v>
      </c>
    </row>
    <row r="34" spans="1:14" x14ac:dyDescent="0.3">
      <c r="A34">
        <v>52</v>
      </c>
      <c r="B34" t="s">
        <v>14</v>
      </c>
      <c r="C34" t="s">
        <v>23</v>
      </c>
      <c r="D34">
        <v>128</v>
      </c>
      <c r="E34">
        <v>255</v>
      </c>
      <c r="F34" t="s">
        <v>20</v>
      </c>
      <c r="G34">
        <v>1</v>
      </c>
      <c r="H34">
        <v>161</v>
      </c>
      <c r="I34" t="s">
        <v>24</v>
      </c>
      <c r="J34">
        <v>0</v>
      </c>
      <c r="K34">
        <v>2</v>
      </c>
      <c r="L34">
        <v>1</v>
      </c>
      <c r="M34">
        <v>3</v>
      </c>
      <c r="N34" t="s">
        <v>25</v>
      </c>
    </row>
    <row r="35" spans="1:14" x14ac:dyDescent="0.3">
      <c r="A35">
        <v>52</v>
      </c>
      <c r="B35" t="s">
        <v>14</v>
      </c>
      <c r="C35" t="s">
        <v>23</v>
      </c>
      <c r="D35">
        <v>112</v>
      </c>
      <c r="E35">
        <v>230</v>
      </c>
      <c r="F35" t="s">
        <v>20</v>
      </c>
      <c r="G35">
        <v>1</v>
      </c>
      <c r="H35">
        <v>160</v>
      </c>
      <c r="I35" t="s">
        <v>17</v>
      </c>
      <c r="J35">
        <v>0</v>
      </c>
      <c r="K35">
        <v>2</v>
      </c>
      <c r="L35">
        <v>1</v>
      </c>
      <c r="M35">
        <v>2</v>
      </c>
      <c r="N35" t="s">
        <v>25</v>
      </c>
    </row>
    <row r="36" spans="1:14" x14ac:dyDescent="0.3">
      <c r="A36">
        <v>52</v>
      </c>
      <c r="B36" t="s">
        <v>14</v>
      </c>
      <c r="C36" t="s">
        <v>23</v>
      </c>
      <c r="D36">
        <v>125</v>
      </c>
      <c r="E36">
        <v>212</v>
      </c>
      <c r="F36" t="s">
        <v>20</v>
      </c>
      <c r="G36">
        <v>1</v>
      </c>
      <c r="H36">
        <v>168</v>
      </c>
      <c r="I36" t="s">
        <v>17</v>
      </c>
      <c r="J36">
        <v>1</v>
      </c>
      <c r="K36">
        <v>2</v>
      </c>
      <c r="L36">
        <v>2</v>
      </c>
      <c r="M36">
        <v>3</v>
      </c>
      <c r="N36" t="s">
        <v>25</v>
      </c>
    </row>
    <row r="37" spans="1:14" x14ac:dyDescent="0.3">
      <c r="A37">
        <v>52</v>
      </c>
      <c r="B37" t="s">
        <v>14</v>
      </c>
      <c r="C37" t="s">
        <v>23</v>
      </c>
      <c r="D37">
        <v>128</v>
      </c>
      <c r="E37">
        <v>204</v>
      </c>
      <c r="F37" t="s">
        <v>16</v>
      </c>
      <c r="G37">
        <v>1</v>
      </c>
      <c r="H37">
        <v>156</v>
      </c>
      <c r="I37" t="s">
        <v>24</v>
      </c>
      <c r="J37">
        <v>1</v>
      </c>
      <c r="K37">
        <v>1</v>
      </c>
      <c r="L37">
        <v>0</v>
      </c>
      <c r="M37">
        <v>0</v>
      </c>
      <c r="N37" t="s">
        <v>25</v>
      </c>
    </row>
    <row r="38" spans="1:14" x14ac:dyDescent="0.3">
      <c r="A38">
        <v>53</v>
      </c>
      <c r="B38" t="s">
        <v>14</v>
      </c>
      <c r="C38" t="s">
        <v>23</v>
      </c>
      <c r="D38">
        <v>140</v>
      </c>
      <c r="E38">
        <v>203</v>
      </c>
      <c r="F38" t="s">
        <v>16</v>
      </c>
      <c r="G38">
        <v>0</v>
      </c>
      <c r="H38">
        <v>155</v>
      </c>
      <c r="I38" t="s">
        <v>24</v>
      </c>
      <c r="J38">
        <v>3.1</v>
      </c>
      <c r="K38">
        <v>0</v>
      </c>
      <c r="L38">
        <v>0</v>
      </c>
      <c r="M38">
        <v>3</v>
      </c>
      <c r="N38" t="s">
        <v>25</v>
      </c>
    </row>
    <row r="39" spans="1:14" x14ac:dyDescent="0.3">
      <c r="A39">
        <v>53</v>
      </c>
      <c r="B39" t="s">
        <v>14</v>
      </c>
      <c r="C39" t="s">
        <v>23</v>
      </c>
      <c r="D39">
        <v>123</v>
      </c>
      <c r="E39">
        <v>282</v>
      </c>
      <c r="F39" t="s">
        <v>20</v>
      </c>
      <c r="G39">
        <v>1</v>
      </c>
      <c r="H39">
        <v>95</v>
      </c>
      <c r="I39" t="s">
        <v>24</v>
      </c>
      <c r="J39">
        <v>2</v>
      </c>
      <c r="K39">
        <v>1</v>
      </c>
      <c r="L39">
        <v>2</v>
      </c>
      <c r="M39">
        <v>3</v>
      </c>
      <c r="N39" t="s">
        <v>25</v>
      </c>
    </row>
    <row r="40" spans="1:14" x14ac:dyDescent="0.3">
      <c r="A40">
        <v>54</v>
      </c>
      <c r="B40" t="s">
        <v>14</v>
      </c>
      <c r="C40" t="s">
        <v>23</v>
      </c>
      <c r="D40">
        <v>124</v>
      </c>
      <c r="E40">
        <v>266</v>
      </c>
      <c r="F40" t="s">
        <v>20</v>
      </c>
      <c r="G40">
        <v>0</v>
      </c>
      <c r="H40">
        <v>109</v>
      </c>
      <c r="I40" t="s">
        <v>24</v>
      </c>
      <c r="J40">
        <v>2.2000000000000002</v>
      </c>
      <c r="K40">
        <v>1</v>
      </c>
      <c r="L40">
        <v>1</v>
      </c>
      <c r="M40">
        <v>3</v>
      </c>
      <c r="N40" t="s">
        <v>25</v>
      </c>
    </row>
    <row r="41" spans="1:14" x14ac:dyDescent="0.3">
      <c r="A41">
        <v>54</v>
      </c>
      <c r="B41" t="s">
        <v>14</v>
      </c>
      <c r="C41" t="s">
        <v>23</v>
      </c>
      <c r="D41">
        <v>120</v>
      </c>
      <c r="E41">
        <v>188</v>
      </c>
      <c r="F41" t="s">
        <v>20</v>
      </c>
      <c r="G41">
        <v>1</v>
      </c>
      <c r="H41">
        <v>113</v>
      </c>
      <c r="I41" t="s">
        <v>17</v>
      </c>
      <c r="J41">
        <v>1.4</v>
      </c>
      <c r="K41">
        <v>1</v>
      </c>
      <c r="L41">
        <v>1</v>
      </c>
      <c r="M41">
        <v>3</v>
      </c>
      <c r="N41" t="s">
        <v>25</v>
      </c>
    </row>
    <row r="42" spans="1:14" x14ac:dyDescent="0.3">
      <c r="A42">
        <v>54</v>
      </c>
      <c r="B42" t="s">
        <v>14</v>
      </c>
      <c r="C42" t="s">
        <v>23</v>
      </c>
      <c r="D42">
        <v>110</v>
      </c>
      <c r="E42">
        <v>239</v>
      </c>
      <c r="F42" t="s">
        <v>20</v>
      </c>
      <c r="G42">
        <v>1</v>
      </c>
      <c r="H42">
        <v>126</v>
      </c>
      <c r="I42" t="s">
        <v>24</v>
      </c>
      <c r="J42">
        <v>2.8</v>
      </c>
      <c r="K42">
        <v>1</v>
      </c>
      <c r="L42">
        <v>1</v>
      </c>
      <c r="M42">
        <v>3</v>
      </c>
      <c r="N42" t="s">
        <v>25</v>
      </c>
    </row>
    <row r="43" spans="1:14" x14ac:dyDescent="0.3">
      <c r="A43">
        <v>54</v>
      </c>
      <c r="B43" t="s">
        <v>14</v>
      </c>
      <c r="C43" t="s">
        <v>22</v>
      </c>
      <c r="D43">
        <v>192</v>
      </c>
      <c r="E43">
        <v>283</v>
      </c>
      <c r="F43" t="s">
        <v>20</v>
      </c>
      <c r="G43">
        <v>0</v>
      </c>
      <c r="H43">
        <v>195</v>
      </c>
      <c r="I43" t="s">
        <v>17</v>
      </c>
      <c r="J43">
        <v>0</v>
      </c>
      <c r="K43">
        <v>2</v>
      </c>
      <c r="L43">
        <v>1</v>
      </c>
      <c r="M43">
        <v>3</v>
      </c>
      <c r="N43" t="s">
        <v>25</v>
      </c>
    </row>
    <row r="44" spans="1:14" x14ac:dyDescent="0.3">
      <c r="A44">
        <v>54</v>
      </c>
      <c r="B44" t="s">
        <v>14</v>
      </c>
      <c r="C44" t="s">
        <v>23</v>
      </c>
      <c r="D44">
        <v>110</v>
      </c>
      <c r="E44">
        <v>206</v>
      </c>
      <c r="F44" t="s">
        <v>20</v>
      </c>
      <c r="G44">
        <v>0</v>
      </c>
      <c r="H44">
        <v>108</v>
      </c>
      <c r="I44" t="s">
        <v>24</v>
      </c>
      <c r="J44">
        <v>0</v>
      </c>
      <c r="K44">
        <v>1</v>
      </c>
      <c r="L44">
        <v>1</v>
      </c>
      <c r="M44">
        <v>2</v>
      </c>
      <c r="N44" t="s">
        <v>25</v>
      </c>
    </row>
    <row r="45" spans="1:14" x14ac:dyDescent="0.3">
      <c r="A45">
        <v>54</v>
      </c>
      <c r="B45" t="s">
        <v>14</v>
      </c>
      <c r="C45" t="s">
        <v>23</v>
      </c>
      <c r="D45">
        <v>122</v>
      </c>
      <c r="E45">
        <v>286</v>
      </c>
      <c r="F45" t="s">
        <v>20</v>
      </c>
      <c r="G45">
        <v>0</v>
      </c>
      <c r="H45">
        <v>116</v>
      </c>
      <c r="I45" t="s">
        <v>24</v>
      </c>
      <c r="J45">
        <v>3.2</v>
      </c>
      <c r="K45">
        <v>1</v>
      </c>
      <c r="L45">
        <v>2</v>
      </c>
      <c r="M45">
        <v>2</v>
      </c>
      <c r="N45" t="s">
        <v>25</v>
      </c>
    </row>
    <row r="46" spans="1:14" x14ac:dyDescent="0.3">
      <c r="A46">
        <v>55</v>
      </c>
      <c r="B46" t="s">
        <v>14</v>
      </c>
      <c r="C46" t="s">
        <v>23</v>
      </c>
      <c r="D46">
        <v>132</v>
      </c>
      <c r="E46">
        <v>353</v>
      </c>
      <c r="F46" t="s">
        <v>20</v>
      </c>
      <c r="G46">
        <v>1</v>
      </c>
      <c r="H46">
        <v>132</v>
      </c>
      <c r="I46" t="s">
        <v>24</v>
      </c>
      <c r="J46">
        <v>1.2</v>
      </c>
      <c r="K46">
        <v>1</v>
      </c>
      <c r="L46">
        <v>1</v>
      </c>
      <c r="M46">
        <v>3</v>
      </c>
      <c r="N46" t="s">
        <v>25</v>
      </c>
    </row>
    <row r="47" spans="1:14" x14ac:dyDescent="0.3">
      <c r="A47">
        <v>55</v>
      </c>
      <c r="B47" t="s">
        <v>14</v>
      </c>
      <c r="C47" t="s">
        <v>23</v>
      </c>
      <c r="D47">
        <v>140</v>
      </c>
      <c r="E47">
        <v>217</v>
      </c>
      <c r="F47" t="s">
        <v>20</v>
      </c>
      <c r="G47">
        <v>1</v>
      </c>
      <c r="H47">
        <v>111</v>
      </c>
      <c r="I47" t="s">
        <v>24</v>
      </c>
      <c r="J47">
        <v>5.6</v>
      </c>
      <c r="K47">
        <v>0</v>
      </c>
      <c r="L47">
        <v>0</v>
      </c>
      <c r="M47">
        <v>3</v>
      </c>
      <c r="N47" t="s">
        <v>25</v>
      </c>
    </row>
    <row r="48" spans="1:14" x14ac:dyDescent="0.3">
      <c r="A48">
        <v>55</v>
      </c>
      <c r="B48" t="s">
        <v>14</v>
      </c>
      <c r="C48" t="s">
        <v>23</v>
      </c>
      <c r="D48">
        <v>160</v>
      </c>
      <c r="E48">
        <v>289</v>
      </c>
      <c r="F48" t="s">
        <v>20</v>
      </c>
      <c r="G48">
        <v>0</v>
      </c>
      <c r="H48">
        <v>145</v>
      </c>
      <c r="I48" t="s">
        <v>24</v>
      </c>
      <c r="J48">
        <v>0.8</v>
      </c>
      <c r="K48">
        <v>1</v>
      </c>
      <c r="L48">
        <v>1</v>
      </c>
      <c r="M48">
        <v>3</v>
      </c>
      <c r="N48" t="s">
        <v>25</v>
      </c>
    </row>
    <row r="49" spans="1:14" x14ac:dyDescent="0.3">
      <c r="A49">
        <v>55</v>
      </c>
      <c r="B49" t="s">
        <v>21</v>
      </c>
      <c r="C49" t="s">
        <v>23</v>
      </c>
      <c r="D49">
        <v>180</v>
      </c>
      <c r="E49">
        <v>327</v>
      </c>
      <c r="F49" t="s">
        <v>20</v>
      </c>
      <c r="G49">
        <v>2</v>
      </c>
      <c r="H49">
        <v>117</v>
      </c>
      <c r="I49" t="s">
        <v>24</v>
      </c>
      <c r="J49">
        <v>3.4</v>
      </c>
      <c r="K49">
        <v>1</v>
      </c>
      <c r="L49">
        <v>0</v>
      </c>
      <c r="M49">
        <v>2</v>
      </c>
      <c r="N49" t="s">
        <v>25</v>
      </c>
    </row>
    <row r="50" spans="1:14" x14ac:dyDescent="0.3">
      <c r="A50">
        <v>55</v>
      </c>
      <c r="B50" t="s">
        <v>21</v>
      </c>
      <c r="C50" t="s">
        <v>23</v>
      </c>
      <c r="D50">
        <v>128</v>
      </c>
      <c r="E50">
        <v>205</v>
      </c>
      <c r="F50" t="s">
        <v>20</v>
      </c>
      <c r="G50">
        <v>2</v>
      </c>
      <c r="H50">
        <v>130</v>
      </c>
      <c r="I50" t="s">
        <v>24</v>
      </c>
      <c r="J50">
        <v>2</v>
      </c>
      <c r="K50">
        <v>1</v>
      </c>
      <c r="L50">
        <v>1</v>
      </c>
      <c r="M50">
        <v>3</v>
      </c>
      <c r="N50" t="s">
        <v>25</v>
      </c>
    </row>
    <row r="51" spans="1:14" x14ac:dyDescent="0.3">
      <c r="A51">
        <v>56</v>
      </c>
      <c r="B51" t="s">
        <v>14</v>
      </c>
      <c r="C51" t="s">
        <v>19</v>
      </c>
      <c r="D51">
        <v>130</v>
      </c>
      <c r="E51">
        <v>256</v>
      </c>
      <c r="F51" t="s">
        <v>16</v>
      </c>
      <c r="G51">
        <v>0</v>
      </c>
      <c r="H51">
        <v>142</v>
      </c>
      <c r="I51" t="s">
        <v>24</v>
      </c>
      <c r="J51">
        <v>0.6</v>
      </c>
      <c r="K51">
        <v>1</v>
      </c>
      <c r="L51">
        <v>1</v>
      </c>
      <c r="M51">
        <v>1</v>
      </c>
      <c r="N51" t="s">
        <v>25</v>
      </c>
    </row>
    <row r="52" spans="1:14" x14ac:dyDescent="0.3">
      <c r="A52">
        <v>56</v>
      </c>
      <c r="B52" t="s">
        <v>14</v>
      </c>
      <c r="C52" t="s">
        <v>23</v>
      </c>
      <c r="D52">
        <v>125</v>
      </c>
      <c r="E52">
        <v>249</v>
      </c>
      <c r="F52" t="s">
        <v>16</v>
      </c>
      <c r="G52">
        <v>0</v>
      </c>
      <c r="H52">
        <v>144</v>
      </c>
      <c r="I52" t="s">
        <v>24</v>
      </c>
      <c r="J52">
        <v>1.2</v>
      </c>
      <c r="K52">
        <v>1</v>
      </c>
      <c r="L52">
        <v>1</v>
      </c>
      <c r="M52">
        <v>2</v>
      </c>
      <c r="N52" t="s">
        <v>25</v>
      </c>
    </row>
    <row r="53" spans="1:14" x14ac:dyDescent="0.3">
      <c r="A53">
        <v>56</v>
      </c>
      <c r="B53" t="s">
        <v>21</v>
      </c>
      <c r="C53" t="s">
        <v>23</v>
      </c>
      <c r="D53">
        <v>200</v>
      </c>
      <c r="E53">
        <v>288</v>
      </c>
      <c r="F53" t="s">
        <v>16</v>
      </c>
      <c r="G53">
        <v>0</v>
      </c>
      <c r="H53">
        <v>133</v>
      </c>
      <c r="I53" t="s">
        <v>24</v>
      </c>
      <c r="J53">
        <v>4</v>
      </c>
      <c r="K53">
        <v>0</v>
      </c>
      <c r="L53">
        <v>2</v>
      </c>
      <c r="M53">
        <v>3</v>
      </c>
      <c r="N53" t="s">
        <v>25</v>
      </c>
    </row>
    <row r="54" spans="1:14" x14ac:dyDescent="0.3">
      <c r="A54">
        <v>56</v>
      </c>
      <c r="B54" t="s">
        <v>14</v>
      </c>
      <c r="C54" t="s">
        <v>23</v>
      </c>
      <c r="D54">
        <v>132</v>
      </c>
      <c r="E54">
        <v>184</v>
      </c>
      <c r="F54" t="s">
        <v>20</v>
      </c>
      <c r="G54">
        <v>0</v>
      </c>
      <c r="H54">
        <v>105</v>
      </c>
      <c r="I54" t="s">
        <v>24</v>
      </c>
      <c r="J54">
        <v>2.1</v>
      </c>
      <c r="K54">
        <v>1</v>
      </c>
      <c r="L54">
        <v>1</v>
      </c>
      <c r="M54">
        <v>1</v>
      </c>
      <c r="N54" t="s">
        <v>25</v>
      </c>
    </row>
    <row r="55" spans="1:14" x14ac:dyDescent="0.3">
      <c r="A55">
        <v>56</v>
      </c>
      <c r="B55" t="s">
        <v>21</v>
      </c>
      <c r="C55" t="s">
        <v>23</v>
      </c>
      <c r="D55">
        <v>134</v>
      </c>
      <c r="E55">
        <v>409</v>
      </c>
      <c r="F55" t="s">
        <v>20</v>
      </c>
      <c r="G55">
        <v>0</v>
      </c>
      <c r="H55">
        <v>150</v>
      </c>
      <c r="I55" t="s">
        <v>24</v>
      </c>
      <c r="J55">
        <v>1.9</v>
      </c>
      <c r="K55">
        <v>1</v>
      </c>
      <c r="L55">
        <v>2</v>
      </c>
      <c r="M55">
        <v>3</v>
      </c>
      <c r="N55" t="s">
        <v>25</v>
      </c>
    </row>
    <row r="56" spans="1:14" x14ac:dyDescent="0.3">
      <c r="A56">
        <v>56</v>
      </c>
      <c r="B56" t="s">
        <v>14</v>
      </c>
      <c r="C56" t="s">
        <v>23</v>
      </c>
      <c r="D56">
        <v>130</v>
      </c>
      <c r="E56">
        <v>283</v>
      </c>
      <c r="F56" t="s">
        <v>16</v>
      </c>
      <c r="G56">
        <v>0</v>
      </c>
      <c r="H56">
        <v>103</v>
      </c>
      <c r="I56" t="s">
        <v>24</v>
      </c>
      <c r="J56">
        <v>1.6</v>
      </c>
      <c r="K56">
        <v>0</v>
      </c>
      <c r="L56">
        <v>0</v>
      </c>
      <c r="M56">
        <v>3</v>
      </c>
      <c r="N56" t="s">
        <v>25</v>
      </c>
    </row>
    <row r="57" spans="1:14" x14ac:dyDescent="0.3">
      <c r="A57">
        <v>57</v>
      </c>
      <c r="B57" t="s">
        <v>14</v>
      </c>
      <c r="C57" t="s">
        <v>23</v>
      </c>
      <c r="D57">
        <v>150</v>
      </c>
      <c r="E57">
        <v>276</v>
      </c>
      <c r="F57" t="s">
        <v>20</v>
      </c>
      <c r="G57">
        <v>0</v>
      </c>
      <c r="H57">
        <v>112</v>
      </c>
      <c r="I57" t="s">
        <v>24</v>
      </c>
      <c r="J57">
        <v>0.6</v>
      </c>
      <c r="K57">
        <v>1</v>
      </c>
      <c r="L57">
        <v>1</v>
      </c>
      <c r="M57">
        <v>1</v>
      </c>
      <c r="N57" t="s">
        <v>25</v>
      </c>
    </row>
    <row r="58" spans="1:14" x14ac:dyDescent="0.3">
      <c r="A58">
        <v>57</v>
      </c>
      <c r="B58" t="s">
        <v>14</v>
      </c>
      <c r="C58" t="s">
        <v>19</v>
      </c>
      <c r="D58">
        <v>128</v>
      </c>
      <c r="E58">
        <v>229</v>
      </c>
      <c r="F58" t="s">
        <v>20</v>
      </c>
      <c r="G58">
        <v>0</v>
      </c>
      <c r="H58">
        <v>150</v>
      </c>
      <c r="I58" t="s">
        <v>17</v>
      </c>
      <c r="J58">
        <v>0.4</v>
      </c>
      <c r="K58">
        <v>1</v>
      </c>
      <c r="L58">
        <v>1</v>
      </c>
      <c r="M58">
        <v>3</v>
      </c>
      <c r="N58" t="s">
        <v>25</v>
      </c>
    </row>
    <row r="59" spans="1:14" x14ac:dyDescent="0.3">
      <c r="A59">
        <v>57</v>
      </c>
      <c r="B59" t="s">
        <v>14</v>
      </c>
      <c r="C59" t="s">
        <v>23</v>
      </c>
      <c r="D59">
        <v>165</v>
      </c>
      <c r="E59">
        <v>289</v>
      </c>
      <c r="F59" t="s">
        <v>16</v>
      </c>
      <c r="G59">
        <v>0</v>
      </c>
      <c r="H59">
        <v>124</v>
      </c>
      <c r="I59" t="s">
        <v>17</v>
      </c>
      <c r="J59">
        <v>1</v>
      </c>
      <c r="K59">
        <v>1</v>
      </c>
      <c r="L59">
        <v>3</v>
      </c>
      <c r="M59">
        <v>3</v>
      </c>
      <c r="N59" t="s">
        <v>25</v>
      </c>
    </row>
    <row r="60" spans="1:14" x14ac:dyDescent="0.3">
      <c r="A60">
        <v>57</v>
      </c>
      <c r="B60" t="s">
        <v>14</v>
      </c>
      <c r="C60" t="s">
        <v>23</v>
      </c>
      <c r="D60">
        <v>152</v>
      </c>
      <c r="E60">
        <v>274</v>
      </c>
      <c r="F60" t="s">
        <v>20</v>
      </c>
      <c r="G60">
        <v>1</v>
      </c>
      <c r="H60">
        <v>88</v>
      </c>
      <c r="I60" t="s">
        <v>24</v>
      </c>
      <c r="J60">
        <v>1.2</v>
      </c>
      <c r="K60">
        <v>1</v>
      </c>
      <c r="L60">
        <v>1</v>
      </c>
      <c r="M60">
        <v>3</v>
      </c>
      <c r="N60" t="s">
        <v>25</v>
      </c>
    </row>
    <row r="61" spans="1:14" x14ac:dyDescent="0.3">
      <c r="A61">
        <v>57</v>
      </c>
      <c r="B61" t="s">
        <v>14</v>
      </c>
      <c r="C61" t="s">
        <v>22</v>
      </c>
      <c r="D61">
        <v>124</v>
      </c>
      <c r="E61">
        <v>261</v>
      </c>
      <c r="F61" t="s">
        <v>20</v>
      </c>
      <c r="G61">
        <v>1</v>
      </c>
      <c r="H61">
        <v>141</v>
      </c>
      <c r="I61" t="s">
        <v>17</v>
      </c>
      <c r="J61">
        <v>0.3</v>
      </c>
      <c r="K61">
        <v>2</v>
      </c>
      <c r="L61">
        <v>0</v>
      </c>
      <c r="M61">
        <v>3</v>
      </c>
      <c r="N61" t="s">
        <v>25</v>
      </c>
    </row>
    <row r="62" spans="1:14" x14ac:dyDescent="0.3">
      <c r="A62">
        <v>57</v>
      </c>
      <c r="B62" t="s">
        <v>14</v>
      </c>
      <c r="C62" t="s">
        <v>22</v>
      </c>
      <c r="D62">
        <v>154</v>
      </c>
      <c r="E62">
        <v>232</v>
      </c>
      <c r="F62" t="s">
        <v>20</v>
      </c>
      <c r="G62">
        <v>0</v>
      </c>
      <c r="H62">
        <v>164</v>
      </c>
      <c r="I62" t="s">
        <v>17</v>
      </c>
      <c r="J62">
        <v>0</v>
      </c>
      <c r="K62">
        <v>2</v>
      </c>
      <c r="L62">
        <v>1</v>
      </c>
      <c r="M62">
        <v>2</v>
      </c>
      <c r="N62" t="s">
        <v>25</v>
      </c>
    </row>
    <row r="63" spans="1:14" x14ac:dyDescent="0.3">
      <c r="A63">
        <v>57</v>
      </c>
      <c r="B63" t="s">
        <v>14</v>
      </c>
      <c r="C63" t="s">
        <v>23</v>
      </c>
      <c r="D63">
        <v>110</v>
      </c>
      <c r="E63">
        <v>335</v>
      </c>
      <c r="F63" t="s">
        <v>20</v>
      </c>
      <c r="G63">
        <v>1</v>
      </c>
      <c r="H63">
        <v>143</v>
      </c>
      <c r="I63" t="s">
        <v>24</v>
      </c>
      <c r="J63">
        <v>3</v>
      </c>
      <c r="K63">
        <v>1</v>
      </c>
      <c r="L63">
        <v>1</v>
      </c>
      <c r="M63">
        <v>3</v>
      </c>
      <c r="N63" t="s">
        <v>25</v>
      </c>
    </row>
    <row r="64" spans="1:14" x14ac:dyDescent="0.3">
      <c r="A64">
        <v>57</v>
      </c>
      <c r="B64" t="s">
        <v>21</v>
      </c>
      <c r="C64" t="s">
        <v>23</v>
      </c>
      <c r="D64">
        <v>140</v>
      </c>
      <c r="E64">
        <v>241</v>
      </c>
      <c r="F64" t="s">
        <v>20</v>
      </c>
      <c r="G64">
        <v>1</v>
      </c>
      <c r="H64">
        <v>123</v>
      </c>
      <c r="I64" t="s">
        <v>24</v>
      </c>
      <c r="J64">
        <v>0.2</v>
      </c>
      <c r="K64">
        <v>1</v>
      </c>
      <c r="L64">
        <v>0</v>
      </c>
      <c r="M64">
        <v>3</v>
      </c>
      <c r="N64" t="s">
        <v>25</v>
      </c>
    </row>
    <row r="65" spans="1:14" x14ac:dyDescent="0.3">
      <c r="A65">
        <v>57</v>
      </c>
      <c r="B65" t="s">
        <v>14</v>
      </c>
      <c r="C65" t="s">
        <v>23</v>
      </c>
      <c r="D65">
        <v>130</v>
      </c>
      <c r="E65">
        <v>131</v>
      </c>
      <c r="F65" t="s">
        <v>20</v>
      </c>
      <c r="G65">
        <v>1</v>
      </c>
      <c r="H65">
        <v>115</v>
      </c>
      <c r="I65" t="s">
        <v>24</v>
      </c>
      <c r="J65">
        <v>1.2</v>
      </c>
      <c r="K65">
        <v>1</v>
      </c>
      <c r="L65">
        <v>1</v>
      </c>
      <c r="M65">
        <v>3</v>
      </c>
      <c r="N65" t="s">
        <v>25</v>
      </c>
    </row>
    <row r="66" spans="1:14" x14ac:dyDescent="0.3">
      <c r="A66">
        <v>57</v>
      </c>
      <c r="B66" t="s">
        <v>21</v>
      </c>
      <c r="C66" t="s">
        <v>22</v>
      </c>
      <c r="D66">
        <v>130</v>
      </c>
      <c r="E66">
        <v>236</v>
      </c>
      <c r="F66" t="s">
        <v>20</v>
      </c>
      <c r="G66">
        <v>0</v>
      </c>
      <c r="H66">
        <v>174</v>
      </c>
      <c r="I66" t="s">
        <v>17</v>
      </c>
      <c r="J66">
        <v>0</v>
      </c>
      <c r="K66">
        <v>1</v>
      </c>
      <c r="L66">
        <v>1</v>
      </c>
      <c r="M66">
        <v>2</v>
      </c>
      <c r="N66" t="s">
        <v>25</v>
      </c>
    </row>
    <row r="67" spans="1:14" x14ac:dyDescent="0.3">
      <c r="A67">
        <v>58</v>
      </c>
      <c r="B67" t="s">
        <v>14</v>
      </c>
      <c r="C67" t="s">
        <v>22</v>
      </c>
      <c r="D67">
        <v>120</v>
      </c>
      <c r="E67">
        <v>284</v>
      </c>
      <c r="F67" t="s">
        <v>20</v>
      </c>
      <c r="G67">
        <v>0</v>
      </c>
      <c r="H67">
        <v>160</v>
      </c>
      <c r="I67" t="s">
        <v>17</v>
      </c>
      <c r="J67">
        <v>1.8</v>
      </c>
      <c r="K67">
        <v>1</v>
      </c>
      <c r="L67">
        <v>0</v>
      </c>
      <c r="M67">
        <v>2</v>
      </c>
      <c r="N67" t="s">
        <v>25</v>
      </c>
    </row>
    <row r="68" spans="1:14" x14ac:dyDescent="0.3">
      <c r="A68">
        <v>58</v>
      </c>
      <c r="B68" t="s">
        <v>14</v>
      </c>
      <c r="C68" t="s">
        <v>19</v>
      </c>
      <c r="D68">
        <v>132</v>
      </c>
      <c r="E68">
        <v>224</v>
      </c>
      <c r="F68" t="s">
        <v>20</v>
      </c>
      <c r="G68">
        <v>0</v>
      </c>
      <c r="H68">
        <v>173</v>
      </c>
      <c r="I68" t="s">
        <v>17</v>
      </c>
      <c r="J68">
        <v>3.2</v>
      </c>
      <c r="K68">
        <v>2</v>
      </c>
      <c r="L68">
        <v>2</v>
      </c>
      <c r="M68">
        <v>3</v>
      </c>
      <c r="N68" t="s">
        <v>25</v>
      </c>
    </row>
    <row r="69" spans="1:14" x14ac:dyDescent="0.3">
      <c r="A69">
        <v>58</v>
      </c>
      <c r="B69" t="s">
        <v>14</v>
      </c>
      <c r="C69" t="s">
        <v>19</v>
      </c>
      <c r="D69">
        <v>112</v>
      </c>
      <c r="E69">
        <v>230</v>
      </c>
      <c r="F69" t="s">
        <v>20</v>
      </c>
      <c r="G69">
        <v>0</v>
      </c>
      <c r="H69">
        <v>165</v>
      </c>
      <c r="I69" t="s">
        <v>17</v>
      </c>
      <c r="J69">
        <v>2.5</v>
      </c>
      <c r="K69">
        <v>1</v>
      </c>
      <c r="L69">
        <v>1</v>
      </c>
      <c r="M69">
        <v>3</v>
      </c>
      <c r="N69" t="s">
        <v>25</v>
      </c>
    </row>
    <row r="70" spans="1:14" x14ac:dyDescent="0.3">
      <c r="A70">
        <v>58</v>
      </c>
      <c r="B70" t="s">
        <v>14</v>
      </c>
      <c r="C70" t="s">
        <v>23</v>
      </c>
      <c r="D70">
        <v>128</v>
      </c>
      <c r="E70">
        <v>216</v>
      </c>
      <c r="F70" t="s">
        <v>20</v>
      </c>
      <c r="G70">
        <v>0</v>
      </c>
      <c r="H70">
        <v>131</v>
      </c>
      <c r="I70" t="s">
        <v>24</v>
      </c>
      <c r="J70">
        <v>2.2000000000000002</v>
      </c>
      <c r="K70">
        <v>1</v>
      </c>
      <c r="L70">
        <v>3</v>
      </c>
      <c r="M70">
        <v>3</v>
      </c>
      <c r="N70" t="s">
        <v>25</v>
      </c>
    </row>
    <row r="71" spans="1:14" x14ac:dyDescent="0.3">
      <c r="A71">
        <v>58</v>
      </c>
      <c r="B71" t="s">
        <v>14</v>
      </c>
      <c r="C71" t="s">
        <v>23</v>
      </c>
      <c r="D71">
        <v>150</v>
      </c>
      <c r="E71">
        <v>270</v>
      </c>
      <c r="F71" t="s">
        <v>20</v>
      </c>
      <c r="G71">
        <v>0</v>
      </c>
      <c r="H71">
        <v>111</v>
      </c>
      <c r="I71" t="s">
        <v>24</v>
      </c>
      <c r="J71">
        <v>0.8</v>
      </c>
      <c r="K71">
        <v>2</v>
      </c>
      <c r="L71">
        <v>0</v>
      </c>
      <c r="M71">
        <v>3</v>
      </c>
      <c r="N71" t="s">
        <v>25</v>
      </c>
    </row>
    <row r="72" spans="1:14" x14ac:dyDescent="0.3">
      <c r="A72">
        <v>58</v>
      </c>
      <c r="B72" t="s">
        <v>14</v>
      </c>
      <c r="C72" t="s">
        <v>23</v>
      </c>
      <c r="D72">
        <v>125</v>
      </c>
      <c r="E72">
        <v>300</v>
      </c>
      <c r="F72" t="s">
        <v>20</v>
      </c>
      <c r="G72">
        <v>0</v>
      </c>
      <c r="H72">
        <v>171</v>
      </c>
      <c r="I72" t="s">
        <v>17</v>
      </c>
      <c r="J72">
        <v>0</v>
      </c>
      <c r="K72">
        <v>2</v>
      </c>
      <c r="L72">
        <v>2</v>
      </c>
      <c r="M72">
        <v>3</v>
      </c>
      <c r="N72" t="s">
        <v>25</v>
      </c>
    </row>
    <row r="73" spans="1:14" x14ac:dyDescent="0.3">
      <c r="A73">
        <v>58</v>
      </c>
      <c r="B73" t="s">
        <v>14</v>
      </c>
      <c r="C73" t="s">
        <v>23</v>
      </c>
      <c r="D73">
        <v>128</v>
      </c>
      <c r="E73">
        <v>259</v>
      </c>
      <c r="F73" t="s">
        <v>20</v>
      </c>
      <c r="G73">
        <v>0</v>
      </c>
      <c r="H73">
        <v>130</v>
      </c>
      <c r="I73" t="s">
        <v>24</v>
      </c>
      <c r="J73">
        <v>3</v>
      </c>
      <c r="K73">
        <v>1</v>
      </c>
      <c r="L73">
        <v>2</v>
      </c>
      <c r="M73">
        <v>3</v>
      </c>
      <c r="N73" t="s">
        <v>25</v>
      </c>
    </row>
    <row r="74" spans="1:14" x14ac:dyDescent="0.3">
      <c r="A74">
        <v>58</v>
      </c>
      <c r="B74" t="s">
        <v>14</v>
      </c>
      <c r="C74" t="s">
        <v>23</v>
      </c>
      <c r="D74">
        <v>100</v>
      </c>
      <c r="E74">
        <v>234</v>
      </c>
      <c r="F74" t="s">
        <v>20</v>
      </c>
      <c r="G74">
        <v>1</v>
      </c>
      <c r="H74">
        <v>156</v>
      </c>
      <c r="I74" t="s">
        <v>17</v>
      </c>
      <c r="J74">
        <v>0.1</v>
      </c>
      <c r="K74">
        <v>2</v>
      </c>
      <c r="L74">
        <v>1</v>
      </c>
      <c r="M74">
        <v>3</v>
      </c>
      <c r="N74" t="s">
        <v>25</v>
      </c>
    </row>
    <row r="75" spans="1:14" x14ac:dyDescent="0.3">
      <c r="A75">
        <v>58</v>
      </c>
      <c r="B75" t="s">
        <v>14</v>
      </c>
      <c r="C75" t="s">
        <v>23</v>
      </c>
      <c r="D75">
        <v>146</v>
      </c>
      <c r="E75">
        <v>218</v>
      </c>
      <c r="F75" t="s">
        <v>20</v>
      </c>
      <c r="G75">
        <v>1</v>
      </c>
      <c r="H75">
        <v>105</v>
      </c>
      <c r="I75" t="s">
        <v>17</v>
      </c>
      <c r="J75">
        <v>2</v>
      </c>
      <c r="K75">
        <v>1</v>
      </c>
      <c r="L75">
        <v>1</v>
      </c>
      <c r="M75">
        <v>3</v>
      </c>
      <c r="N75" t="s">
        <v>25</v>
      </c>
    </row>
    <row r="76" spans="1:14" x14ac:dyDescent="0.3">
      <c r="A76">
        <v>58</v>
      </c>
      <c r="B76" t="s">
        <v>21</v>
      </c>
      <c r="C76" t="s">
        <v>22</v>
      </c>
      <c r="D76">
        <v>136</v>
      </c>
      <c r="E76">
        <v>319</v>
      </c>
      <c r="F76" t="s">
        <v>16</v>
      </c>
      <c r="G76">
        <v>0</v>
      </c>
      <c r="H76">
        <v>152</v>
      </c>
      <c r="I76" t="s">
        <v>17</v>
      </c>
      <c r="J76">
        <v>0</v>
      </c>
      <c r="K76">
        <v>2</v>
      </c>
      <c r="L76">
        <v>2</v>
      </c>
      <c r="M76">
        <v>2</v>
      </c>
      <c r="N76" t="s">
        <v>25</v>
      </c>
    </row>
    <row r="77" spans="1:14" x14ac:dyDescent="0.3">
      <c r="A77">
        <v>58</v>
      </c>
      <c r="B77" t="s">
        <v>14</v>
      </c>
      <c r="C77" t="s">
        <v>23</v>
      </c>
      <c r="D77">
        <v>114</v>
      </c>
      <c r="E77">
        <v>318</v>
      </c>
      <c r="F77" t="s">
        <v>20</v>
      </c>
      <c r="G77">
        <v>2</v>
      </c>
      <c r="H77">
        <v>140</v>
      </c>
      <c r="I77" t="s">
        <v>17</v>
      </c>
      <c r="J77">
        <v>4.4000000000000004</v>
      </c>
      <c r="K77">
        <v>0</v>
      </c>
      <c r="L77">
        <v>3</v>
      </c>
      <c r="M77">
        <v>1</v>
      </c>
      <c r="N77" t="s">
        <v>25</v>
      </c>
    </row>
    <row r="78" spans="1:14" x14ac:dyDescent="0.3">
      <c r="A78">
        <v>58</v>
      </c>
      <c r="B78" t="s">
        <v>21</v>
      </c>
      <c r="C78" t="s">
        <v>23</v>
      </c>
      <c r="D78">
        <v>170</v>
      </c>
      <c r="E78">
        <v>225</v>
      </c>
      <c r="F78" t="s">
        <v>16</v>
      </c>
      <c r="G78">
        <v>0</v>
      </c>
      <c r="H78">
        <v>146</v>
      </c>
      <c r="I78" t="s">
        <v>24</v>
      </c>
      <c r="J78">
        <v>2.8</v>
      </c>
      <c r="K78">
        <v>1</v>
      </c>
      <c r="L78">
        <v>2</v>
      </c>
      <c r="M78">
        <v>1</v>
      </c>
      <c r="N78" t="s">
        <v>25</v>
      </c>
    </row>
    <row r="79" spans="1:14" x14ac:dyDescent="0.3">
      <c r="A79">
        <v>59</v>
      </c>
      <c r="B79" t="s">
        <v>14</v>
      </c>
      <c r="C79" t="s">
        <v>23</v>
      </c>
      <c r="D79">
        <v>170</v>
      </c>
      <c r="E79">
        <v>326</v>
      </c>
      <c r="F79" t="s">
        <v>20</v>
      </c>
      <c r="G79">
        <v>0</v>
      </c>
      <c r="H79">
        <v>140</v>
      </c>
      <c r="I79" t="s">
        <v>24</v>
      </c>
      <c r="J79">
        <v>3.4</v>
      </c>
      <c r="K79">
        <v>0</v>
      </c>
      <c r="L79">
        <v>0</v>
      </c>
      <c r="M79">
        <v>3</v>
      </c>
      <c r="N79" t="s">
        <v>25</v>
      </c>
    </row>
    <row r="80" spans="1:14" x14ac:dyDescent="0.3">
      <c r="A80">
        <v>59</v>
      </c>
      <c r="B80" t="s">
        <v>14</v>
      </c>
      <c r="C80" t="s">
        <v>23</v>
      </c>
      <c r="D80">
        <v>110</v>
      </c>
      <c r="E80">
        <v>239</v>
      </c>
      <c r="F80" t="s">
        <v>20</v>
      </c>
      <c r="G80">
        <v>0</v>
      </c>
      <c r="H80">
        <v>142</v>
      </c>
      <c r="I80" t="s">
        <v>24</v>
      </c>
      <c r="J80">
        <v>1.2</v>
      </c>
      <c r="K80">
        <v>1</v>
      </c>
      <c r="L80">
        <v>1</v>
      </c>
      <c r="M80">
        <v>3</v>
      </c>
      <c r="N80" t="s">
        <v>25</v>
      </c>
    </row>
    <row r="81" spans="1:14" x14ac:dyDescent="0.3">
      <c r="A81">
        <v>59</v>
      </c>
      <c r="B81" t="s">
        <v>14</v>
      </c>
      <c r="C81" t="s">
        <v>23</v>
      </c>
      <c r="D81">
        <v>140</v>
      </c>
      <c r="E81">
        <v>177</v>
      </c>
      <c r="F81" t="s">
        <v>20</v>
      </c>
      <c r="G81">
        <v>1</v>
      </c>
      <c r="H81">
        <v>162</v>
      </c>
      <c r="I81" t="s">
        <v>24</v>
      </c>
      <c r="J81">
        <v>0</v>
      </c>
      <c r="K81">
        <v>2</v>
      </c>
      <c r="L81">
        <v>1</v>
      </c>
      <c r="M81">
        <v>3</v>
      </c>
      <c r="N81" t="s">
        <v>25</v>
      </c>
    </row>
    <row r="82" spans="1:14" x14ac:dyDescent="0.3">
      <c r="A82">
        <v>59</v>
      </c>
      <c r="B82" t="s">
        <v>14</v>
      </c>
      <c r="C82" t="s">
        <v>15</v>
      </c>
      <c r="D82">
        <v>170</v>
      </c>
      <c r="E82">
        <v>288</v>
      </c>
      <c r="F82" t="s">
        <v>20</v>
      </c>
      <c r="G82">
        <v>0</v>
      </c>
      <c r="H82">
        <v>159</v>
      </c>
      <c r="I82" t="s">
        <v>17</v>
      </c>
      <c r="J82">
        <v>0.2</v>
      </c>
      <c r="K82">
        <v>1</v>
      </c>
      <c r="L82">
        <v>0</v>
      </c>
      <c r="M82">
        <v>3</v>
      </c>
      <c r="N82" t="s">
        <v>25</v>
      </c>
    </row>
    <row r="83" spans="1:14" x14ac:dyDescent="0.3">
      <c r="A83">
        <v>59</v>
      </c>
      <c r="B83" t="s">
        <v>21</v>
      </c>
      <c r="C83" t="s">
        <v>23</v>
      </c>
      <c r="D83">
        <v>174</v>
      </c>
      <c r="E83">
        <v>249</v>
      </c>
      <c r="F83" t="s">
        <v>20</v>
      </c>
      <c r="G83">
        <v>1</v>
      </c>
      <c r="H83">
        <v>143</v>
      </c>
      <c r="I83" t="s">
        <v>24</v>
      </c>
      <c r="J83">
        <v>0</v>
      </c>
      <c r="K83">
        <v>1</v>
      </c>
      <c r="L83">
        <v>0</v>
      </c>
      <c r="M83">
        <v>2</v>
      </c>
      <c r="N83" t="s">
        <v>25</v>
      </c>
    </row>
    <row r="84" spans="1:14" x14ac:dyDescent="0.3">
      <c r="A84">
        <v>59</v>
      </c>
      <c r="B84" t="s">
        <v>14</v>
      </c>
      <c r="C84" t="s">
        <v>15</v>
      </c>
      <c r="D84">
        <v>160</v>
      </c>
      <c r="E84">
        <v>273</v>
      </c>
      <c r="F84" t="s">
        <v>20</v>
      </c>
      <c r="G84">
        <v>0</v>
      </c>
      <c r="H84">
        <v>125</v>
      </c>
      <c r="I84" t="s">
        <v>17</v>
      </c>
      <c r="J84">
        <v>0</v>
      </c>
      <c r="K84">
        <v>2</v>
      </c>
      <c r="L84">
        <v>0</v>
      </c>
      <c r="M84">
        <v>2</v>
      </c>
      <c r="N84" t="s">
        <v>25</v>
      </c>
    </row>
    <row r="85" spans="1:14" x14ac:dyDescent="0.3">
      <c r="A85">
        <v>59</v>
      </c>
      <c r="B85" t="s">
        <v>14</v>
      </c>
      <c r="C85" t="s">
        <v>19</v>
      </c>
      <c r="D85">
        <v>126</v>
      </c>
      <c r="E85">
        <v>218</v>
      </c>
      <c r="F85" t="s">
        <v>16</v>
      </c>
      <c r="G85">
        <v>1</v>
      </c>
      <c r="H85">
        <v>134</v>
      </c>
      <c r="I85" t="s">
        <v>17</v>
      </c>
      <c r="J85">
        <v>2.2000000000000002</v>
      </c>
      <c r="K85">
        <v>1</v>
      </c>
      <c r="L85">
        <v>1</v>
      </c>
      <c r="M85">
        <v>1</v>
      </c>
      <c r="N85" t="s">
        <v>25</v>
      </c>
    </row>
    <row r="86" spans="1:14" x14ac:dyDescent="0.3">
      <c r="A86">
        <v>59</v>
      </c>
      <c r="B86" t="s">
        <v>14</v>
      </c>
      <c r="C86" t="s">
        <v>15</v>
      </c>
      <c r="D86">
        <v>134</v>
      </c>
      <c r="E86">
        <v>204</v>
      </c>
      <c r="F86" t="s">
        <v>20</v>
      </c>
      <c r="G86">
        <v>1</v>
      </c>
      <c r="H86">
        <v>162</v>
      </c>
      <c r="I86" t="s">
        <v>17</v>
      </c>
      <c r="J86">
        <v>0.8</v>
      </c>
      <c r="K86">
        <v>2</v>
      </c>
      <c r="L86">
        <v>2</v>
      </c>
      <c r="M86">
        <v>2</v>
      </c>
      <c r="N86" t="s">
        <v>25</v>
      </c>
    </row>
    <row r="87" spans="1:14" x14ac:dyDescent="0.3">
      <c r="A87">
        <v>59</v>
      </c>
      <c r="B87" t="s">
        <v>14</v>
      </c>
      <c r="C87" t="s">
        <v>23</v>
      </c>
      <c r="D87">
        <v>164</v>
      </c>
      <c r="E87">
        <v>176</v>
      </c>
      <c r="F87" t="s">
        <v>16</v>
      </c>
      <c r="G87">
        <v>0</v>
      </c>
      <c r="H87">
        <v>90</v>
      </c>
      <c r="I87" t="s">
        <v>17</v>
      </c>
      <c r="J87">
        <v>1</v>
      </c>
      <c r="K87">
        <v>1</v>
      </c>
      <c r="L87">
        <v>2</v>
      </c>
      <c r="M87">
        <v>1</v>
      </c>
      <c r="N87" t="s">
        <v>25</v>
      </c>
    </row>
    <row r="88" spans="1:14" x14ac:dyDescent="0.3">
      <c r="A88">
        <v>60</v>
      </c>
      <c r="B88" t="s">
        <v>14</v>
      </c>
      <c r="C88" t="s">
        <v>23</v>
      </c>
      <c r="D88">
        <v>130</v>
      </c>
      <c r="E88">
        <v>206</v>
      </c>
      <c r="F88" t="s">
        <v>20</v>
      </c>
      <c r="G88">
        <v>0</v>
      </c>
      <c r="H88">
        <v>132</v>
      </c>
      <c r="I88" t="s">
        <v>24</v>
      </c>
      <c r="J88">
        <v>2.4</v>
      </c>
      <c r="K88">
        <v>1</v>
      </c>
      <c r="L88">
        <v>2</v>
      </c>
      <c r="M88">
        <v>3</v>
      </c>
      <c r="N88" t="s">
        <v>25</v>
      </c>
    </row>
    <row r="89" spans="1:14" x14ac:dyDescent="0.3">
      <c r="A89">
        <v>60</v>
      </c>
      <c r="B89" t="s">
        <v>14</v>
      </c>
      <c r="C89" t="s">
        <v>23</v>
      </c>
      <c r="D89">
        <v>117</v>
      </c>
      <c r="E89">
        <v>230</v>
      </c>
      <c r="F89" t="s">
        <v>16</v>
      </c>
      <c r="G89">
        <v>1</v>
      </c>
      <c r="H89">
        <v>160</v>
      </c>
      <c r="I89" t="s">
        <v>24</v>
      </c>
      <c r="J89">
        <v>1.4</v>
      </c>
      <c r="K89">
        <v>2</v>
      </c>
      <c r="L89">
        <v>2</v>
      </c>
      <c r="M89">
        <v>3</v>
      </c>
      <c r="N89" t="s">
        <v>25</v>
      </c>
    </row>
    <row r="90" spans="1:14" x14ac:dyDescent="0.3">
      <c r="A90">
        <v>60</v>
      </c>
      <c r="B90" t="s">
        <v>14</v>
      </c>
      <c r="C90" t="s">
        <v>23</v>
      </c>
      <c r="D90">
        <v>130</v>
      </c>
      <c r="E90">
        <v>253</v>
      </c>
      <c r="F90" t="s">
        <v>20</v>
      </c>
      <c r="G90">
        <v>1</v>
      </c>
      <c r="H90">
        <v>144</v>
      </c>
      <c r="I90" t="s">
        <v>24</v>
      </c>
      <c r="J90">
        <v>1.4</v>
      </c>
      <c r="K90">
        <v>2</v>
      </c>
      <c r="L90">
        <v>1</v>
      </c>
      <c r="M90">
        <v>3</v>
      </c>
      <c r="N90" t="s">
        <v>25</v>
      </c>
    </row>
    <row r="91" spans="1:14" x14ac:dyDescent="0.3">
      <c r="A91">
        <v>60</v>
      </c>
      <c r="B91" t="s">
        <v>14</v>
      </c>
      <c r="C91" t="s">
        <v>23</v>
      </c>
      <c r="D91">
        <v>145</v>
      </c>
      <c r="E91">
        <v>282</v>
      </c>
      <c r="F91" t="s">
        <v>20</v>
      </c>
      <c r="G91">
        <v>0</v>
      </c>
      <c r="H91">
        <v>142</v>
      </c>
      <c r="I91" t="s">
        <v>24</v>
      </c>
      <c r="J91">
        <v>2.8</v>
      </c>
      <c r="K91">
        <v>1</v>
      </c>
      <c r="L91">
        <v>2</v>
      </c>
      <c r="M91">
        <v>3</v>
      </c>
      <c r="N91" t="s">
        <v>25</v>
      </c>
    </row>
    <row r="92" spans="1:14" x14ac:dyDescent="0.3">
      <c r="A92">
        <v>60</v>
      </c>
      <c r="B92" t="s">
        <v>14</v>
      </c>
      <c r="C92" t="s">
        <v>19</v>
      </c>
      <c r="D92">
        <v>140</v>
      </c>
      <c r="E92">
        <v>185</v>
      </c>
      <c r="F92" t="s">
        <v>20</v>
      </c>
      <c r="G92">
        <v>0</v>
      </c>
      <c r="H92">
        <v>155</v>
      </c>
      <c r="I92" t="s">
        <v>17</v>
      </c>
      <c r="J92">
        <v>3</v>
      </c>
      <c r="K92">
        <v>1</v>
      </c>
      <c r="L92">
        <v>0</v>
      </c>
      <c r="M92">
        <v>2</v>
      </c>
      <c r="N92" t="s">
        <v>25</v>
      </c>
    </row>
    <row r="93" spans="1:14" x14ac:dyDescent="0.3">
      <c r="A93">
        <v>60</v>
      </c>
      <c r="B93" t="s">
        <v>14</v>
      </c>
      <c r="C93" t="s">
        <v>23</v>
      </c>
      <c r="D93">
        <v>125</v>
      </c>
      <c r="E93">
        <v>258</v>
      </c>
      <c r="F93" t="s">
        <v>20</v>
      </c>
      <c r="G93">
        <v>0</v>
      </c>
      <c r="H93">
        <v>141</v>
      </c>
      <c r="I93" t="s">
        <v>24</v>
      </c>
      <c r="J93">
        <v>2.8</v>
      </c>
      <c r="K93">
        <v>1</v>
      </c>
      <c r="L93">
        <v>1</v>
      </c>
      <c r="M93">
        <v>3</v>
      </c>
      <c r="N93" t="s">
        <v>25</v>
      </c>
    </row>
    <row r="94" spans="1:14" x14ac:dyDescent="0.3">
      <c r="A94">
        <v>60</v>
      </c>
      <c r="B94" t="s">
        <v>21</v>
      </c>
      <c r="C94" t="s">
        <v>23</v>
      </c>
      <c r="D94">
        <v>150</v>
      </c>
      <c r="E94">
        <v>258</v>
      </c>
      <c r="F94" t="s">
        <v>20</v>
      </c>
      <c r="G94">
        <v>0</v>
      </c>
      <c r="H94">
        <v>157</v>
      </c>
      <c r="I94" t="s">
        <v>17</v>
      </c>
      <c r="J94">
        <v>2.6</v>
      </c>
      <c r="K94">
        <v>1</v>
      </c>
      <c r="L94">
        <v>2</v>
      </c>
      <c r="M94">
        <v>3</v>
      </c>
      <c r="N94" t="s">
        <v>25</v>
      </c>
    </row>
    <row r="95" spans="1:14" x14ac:dyDescent="0.3">
      <c r="A95">
        <v>60</v>
      </c>
      <c r="B95" t="s">
        <v>14</v>
      </c>
      <c r="C95" t="s">
        <v>23</v>
      </c>
      <c r="D95">
        <v>140</v>
      </c>
      <c r="E95">
        <v>293</v>
      </c>
      <c r="F95" t="s">
        <v>20</v>
      </c>
      <c r="G95">
        <v>0</v>
      </c>
      <c r="H95">
        <v>170</v>
      </c>
      <c r="I95" t="s">
        <v>17</v>
      </c>
      <c r="J95">
        <v>1.2</v>
      </c>
      <c r="K95">
        <v>1</v>
      </c>
      <c r="L95">
        <v>2</v>
      </c>
      <c r="M95">
        <v>3</v>
      </c>
      <c r="N95" t="s">
        <v>25</v>
      </c>
    </row>
    <row r="96" spans="1:14" x14ac:dyDescent="0.3">
      <c r="A96">
        <v>61</v>
      </c>
      <c r="B96" t="s">
        <v>21</v>
      </c>
      <c r="C96" t="s">
        <v>23</v>
      </c>
      <c r="D96">
        <v>130</v>
      </c>
      <c r="E96">
        <v>330</v>
      </c>
      <c r="F96" t="s">
        <v>20</v>
      </c>
      <c r="G96">
        <v>0</v>
      </c>
      <c r="H96">
        <v>169</v>
      </c>
      <c r="I96" t="s">
        <v>17</v>
      </c>
      <c r="J96">
        <v>0</v>
      </c>
      <c r="K96">
        <v>2</v>
      </c>
      <c r="L96">
        <v>0</v>
      </c>
      <c r="M96">
        <v>2</v>
      </c>
      <c r="N96" t="s">
        <v>25</v>
      </c>
    </row>
    <row r="97" spans="1:14" x14ac:dyDescent="0.3">
      <c r="A97">
        <v>61</v>
      </c>
      <c r="B97" t="s">
        <v>14</v>
      </c>
      <c r="C97" t="s">
        <v>23</v>
      </c>
      <c r="D97">
        <v>120</v>
      </c>
      <c r="E97">
        <v>260</v>
      </c>
      <c r="F97" t="s">
        <v>20</v>
      </c>
      <c r="G97">
        <v>1</v>
      </c>
      <c r="H97">
        <v>140</v>
      </c>
      <c r="I97" t="s">
        <v>24</v>
      </c>
      <c r="J97">
        <v>3.6</v>
      </c>
      <c r="K97">
        <v>1</v>
      </c>
      <c r="L97">
        <v>1</v>
      </c>
      <c r="M97">
        <v>3</v>
      </c>
      <c r="N97" t="s">
        <v>25</v>
      </c>
    </row>
    <row r="98" spans="1:14" x14ac:dyDescent="0.3">
      <c r="A98">
        <v>61</v>
      </c>
      <c r="B98" t="s">
        <v>21</v>
      </c>
      <c r="C98" t="s">
        <v>23</v>
      </c>
      <c r="D98">
        <v>145</v>
      </c>
      <c r="E98">
        <v>307</v>
      </c>
      <c r="F98" t="s">
        <v>20</v>
      </c>
      <c r="G98">
        <v>0</v>
      </c>
      <c r="H98">
        <v>146</v>
      </c>
      <c r="I98" t="s">
        <v>24</v>
      </c>
      <c r="J98">
        <v>1</v>
      </c>
      <c r="K98">
        <v>1</v>
      </c>
      <c r="L98">
        <v>0</v>
      </c>
      <c r="M98">
        <v>3</v>
      </c>
      <c r="N98" t="s">
        <v>25</v>
      </c>
    </row>
    <row r="99" spans="1:14" x14ac:dyDescent="0.3">
      <c r="A99">
        <v>61</v>
      </c>
      <c r="B99" t="s">
        <v>14</v>
      </c>
      <c r="C99" t="s">
        <v>15</v>
      </c>
      <c r="D99">
        <v>134</v>
      </c>
      <c r="E99">
        <v>234</v>
      </c>
      <c r="F99" t="s">
        <v>20</v>
      </c>
      <c r="G99">
        <v>1</v>
      </c>
      <c r="H99">
        <v>145</v>
      </c>
      <c r="I99" t="s">
        <v>17</v>
      </c>
      <c r="J99">
        <v>2.6</v>
      </c>
      <c r="K99">
        <v>1</v>
      </c>
      <c r="L99">
        <v>2</v>
      </c>
      <c r="M99">
        <v>2</v>
      </c>
      <c r="N99" t="s">
        <v>25</v>
      </c>
    </row>
    <row r="100" spans="1:14" x14ac:dyDescent="0.3">
      <c r="A100">
        <v>61</v>
      </c>
      <c r="B100" t="s">
        <v>14</v>
      </c>
      <c r="C100" t="s">
        <v>23</v>
      </c>
      <c r="D100">
        <v>138</v>
      </c>
      <c r="E100">
        <v>166</v>
      </c>
      <c r="F100" t="s">
        <v>20</v>
      </c>
      <c r="G100">
        <v>0</v>
      </c>
      <c r="H100">
        <v>125</v>
      </c>
      <c r="I100" t="s">
        <v>24</v>
      </c>
      <c r="J100">
        <v>3.6</v>
      </c>
      <c r="K100">
        <v>1</v>
      </c>
      <c r="L100">
        <v>1</v>
      </c>
      <c r="M100">
        <v>2</v>
      </c>
      <c r="N100" t="s">
        <v>25</v>
      </c>
    </row>
    <row r="101" spans="1:14" x14ac:dyDescent="0.3">
      <c r="A101">
        <v>61</v>
      </c>
      <c r="B101" t="s">
        <v>14</v>
      </c>
      <c r="C101" t="s">
        <v>23</v>
      </c>
      <c r="D101">
        <v>140</v>
      </c>
      <c r="E101">
        <v>207</v>
      </c>
      <c r="F101" t="s">
        <v>20</v>
      </c>
      <c r="G101">
        <v>0</v>
      </c>
      <c r="H101">
        <v>138</v>
      </c>
      <c r="I101" t="s">
        <v>24</v>
      </c>
      <c r="J101">
        <v>1.9</v>
      </c>
      <c r="K101">
        <v>2</v>
      </c>
      <c r="L101">
        <v>1</v>
      </c>
      <c r="M101">
        <v>3</v>
      </c>
      <c r="N101" t="s">
        <v>25</v>
      </c>
    </row>
    <row r="102" spans="1:14" x14ac:dyDescent="0.3">
      <c r="A102">
        <v>61</v>
      </c>
      <c r="B102" t="s">
        <v>14</v>
      </c>
      <c r="C102" t="s">
        <v>23</v>
      </c>
      <c r="D102">
        <v>148</v>
      </c>
      <c r="E102">
        <v>203</v>
      </c>
      <c r="F102" t="s">
        <v>20</v>
      </c>
      <c r="G102">
        <v>1</v>
      </c>
      <c r="H102">
        <v>161</v>
      </c>
      <c r="I102" t="s">
        <v>17</v>
      </c>
      <c r="J102">
        <v>0</v>
      </c>
      <c r="K102">
        <v>2</v>
      </c>
      <c r="L102">
        <v>1</v>
      </c>
      <c r="M102">
        <v>3</v>
      </c>
      <c r="N102" t="s">
        <v>25</v>
      </c>
    </row>
    <row r="103" spans="1:14" x14ac:dyDescent="0.3">
      <c r="A103">
        <v>62</v>
      </c>
      <c r="B103" t="s">
        <v>21</v>
      </c>
      <c r="C103" t="s">
        <v>23</v>
      </c>
      <c r="D103">
        <v>140</v>
      </c>
      <c r="E103">
        <v>268</v>
      </c>
      <c r="F103" t="s">
        <v>20</v>
      </c>
      <c r="G103">
        <v>0</v>
      </c>
      <c r="H103">
        <v>160</v>
      </c>
      <c r="I103" t="s">
        <v>17</v>
      </c>
      <c r="J103">
        <v>3.6</v>
      </c>
      <c r="K103">
        <v>0</v>
      </c>
      <c r="L103">
        <v>2</v>
      </c>
      <c r="M103">
        <v>2</v>
      </c>
      <c r="N103" t="s">
        <v>25</v>
      </c>
    </row>
    <row r="104" spans="1:14" x14ac:dyDescent="0.3">
      <c r="A104">
        <v>62</v>
      </c>
      <c r="B104" t="s">
        <v>14</v>
      </c>
      <c r="C104" t="s">
        <v>23</v>
      </c>
      <c r="D104">
        <v>120</v>
      </c>
      <c r="E104">
        <v>267</v>
      </c>
      <c r="F104" t="s">
        <v>20</v>
      </c>
      <c r="G104">
        <v>1</v>
      </c>
      <c r="H104">
        <v>99</v>
      </c>
      <c r="I104" t="s">
        <v>24</v>
      </c>
      <c r="J104">
        <v>1.8</v>
      </c>
      <c r="K104">
        <v>1</v>
      </c>
      <c r="L104">
        <v>2</v>
      </c>
      <c r="M104">
        <v>3</v>
      </c>
      <c r="N104" t="s">
        <v>25</v>
      </c>
    </row>
    <row r="105" spans="1:14" x14ac:dyDescent="0.3">
      <c r="A105">
        <v>62</v>
      </c>
      <c r="B105" t="s">
        <v>21</v>
      </c>
      <c r="C105" t="s">
        <v>23</v>
      </c>
      <c r="D105">
        <v>160</v>
      </c>
      <c r="E105">
        <v>164</v>
      </c>
      <c r="F105" t="s">
        <v>20</v>
      </c>
      <c r="G105">
        <v>0</v>
      </c>
      <c r="H105">
        <v>145</v>
      </c>
      <c r="I105" t="s">
        <v>17</v>
      </c>
      <c r="J105">
        <v>6.2</v>
      </c>
      <c r="K105">
        <v>0</v>
      </c>
      <c r="L105">
        <v>3</v>
      </c>
      <c r="M105">
        <v>3</v>
      </c>
      <c r="N105" t="s">
        <v>25</v>
      </c>
    </row>
    <row r="106" spans="1:14" x14ac:dyDescent="0.3">
      <c r="A106">
        <v>62</v>
      </c>
      <c r="B106" t="s">
        <v>21</v>
      </c>
      <c r="C106" t="s">
        <v>19</v>
      </c>
      <c r="D106">
        <v>130</v>
      </c>
      <c r="E106">
        <v>263</v>
      </c>
      <c r="F106" t="s">
        <v>20</v>
      </c>
      <c r="G106">
        <v>1</v>
      </c>
      <c r="H106">
        <v>97</v>
      </c>
      <c r="I106" t="s">
        <v>17</v>
      </c>
      <c r="J106">
        <v>1.2</v>
      </c>
      <c r="K106">
        <v>1</v>
      </c>
      <c r="L106">
        <v>1</v>
      </c>
      <c r="M106">
        <v>3</v>
      </c>
      <c r="N106" t="s">
        <v>25</v>
      </c>
    </row>
    <row r="107" spans="1:14" x14ac:dyDescent="0.3">
      <c r="A107">
        <v>62</v>
      </c>
      <c r="B107" t="s">
        <v>14</v>
      </c>
      <c r="C107" t="s">
        <v>22</v>
      </c>
      <c r="D107">
        <v>120</v>
      </c>
      <c r="E107">
        <v>281</v>
      </c>
      <c r="F107" t="s">
        <v>20</v>
      </c>
      <c r="G107">
        <v>0</v>
      </c>
      <c r="H107">
        <v>103</v>
      </c>
      <c r="I107" t="s">
        <v>17</v>
      </c>
      <c r="J107">
        <v>1.4</v>
      </c>
      <c r="K107">
        <v>1</v>
      </c>
      <c r="L107">
        <v>1</v>
      </c>
      <c r="M107">
        <v>3</v>
      </c>
      <c r="N107" t="s">
        <v>25</v>
      </c>
    </row>
    <row r="108" spans="1:14" x14ac:dyDescent="0.3">
      <c r="A108">
        <v>62</v>
      </c>
      <c r="B108" t="s">
        <v>21</v>
      </c>
      <c r="C108" t="s">
        <v>23</v>
      </c>
      <c r="D108">
        <v>138</v>
      </c>
      <c r="E108">
        <v>294</v>
      </c>
      <c r="F108" t="s">
        <v>16</v>
      </c>
      <c r="G108">
        <v>1</v>
      </c>
      <c r="H108">
        <v>106</v>
      </c>
      <c r="I108" t="s">
        <v>17</v>
      </c>
      <c r="J108">
        <v>1.9</v>
      </c>
      <c r="K108">
        <v>1</v>
      </c>
      <c r="L108">
        <v>3</v>
      </c>
      <c r="M108">
        <v>2</v>
      </c>
      <c r="N108" t="s">
        <v>25</v>
      </c>
    </row>
    <row r="109" spans="1:14" x14ac:dyDescent="0.3">
      <c r="A109">
        <v>62</v>
      </c>
      <c r="B109" t="s">
        <v>21</v>
      </c>
      <c r="C109" t="s">
        <v>23</v>
      </c>
      <c r="D109">
        <v>150</v>
      </c>
      <c r="E109">
        <v>244</v>
      </c>
      <c r="F109" t="s">
        <v>20</v>
      </c>
      <c r="G109">
        <v>1</v>
      </c>
      <c r="H109">
        <v>154</v>
      </c>
      <c r="I109" t="s">
        <v>24</v>
      </c>
      <c r="J109">
        <v>1.4</v>
      </c>
      <c r="K109">
        <v>1</v>
      </c>
      <c r="L109">
        <v>0</v>
      </c>
      <c r="M109">
        <v>2</v>
      </c>
      <c r="N109" t="s">
        <v>25</v>
      </c>
    </row>
    <row r="110" spans="1:14" x14ac:dyDescent="0.3">
      <c r="A110">
        <v>63</v>
      </c>
      <c r="B110" t="s">
        <v>14</v>
      </c>
      <c r="C110" t="s">
        <v>23</v>
      </c>
      <c r="D110">
        <v>130</v>
      </c>
      <c r="E110">
        <v>254</v>
      </c>
      <c r="F110" t="s">
        <v>20</v>
      </c>
      <c r="G110">
        <v>0</v>
      </c>
      <c r="H110">
        <v>147</v>
      </c>
      <c r="I110" t="s">
        <v>17</v>
      </c>
      <c r="J110">
        <v>1.4</v>
      </c>
      <c r="K110">
        <v>1</v>
      </c>
      <c r="L110">
        <v>1</v>
      </c>
      <c r="M110">
        <v>3</v>
      </c>
      <c r="N110" t="s">
        <v>25</v>
      </c>
    </row>
    <row r="111" spans="1:14" x14ac:dyDescent="0.3">
      <c r="A111">
        <v>63</v>
      </c>
      <c r="B111" t="s">
        <v>14</v>
      </c>
      <c r="C111" t="s">
        <v>23</v>
      </c>
      <c r="D111">
        <v>130</v>
      </c>
      <c r="E111">
        <v>330</v>
      </c>
      <c r="F111" t="s">
        <v>16</v>
      </c>
      <c r="G111">
        <v>0</v>
      </c>
      <c r="H111">
        <v>132</v>
      </c>
      <c r="I111" t="s">
        <v>24</v>
      </c>
      <c r="J111">
        <v>1.8</v>
      </c>
      <c r="K111">
        <v>2</v>
      </c>
      <c r="L111">
        <v>3</v>
      </c>
      <c r="M111">
        <v>3</v>
      </c>
      <c r="N111" t="s">
        <v>25</v>
      </c>
    </row>
    <row r="112" spans="1:14" x14ac:dyDescent="0.3">
      <c r="A112">
        <v>63</v>
      </c>
      <c r="B112" t="s">
        <v>21</v>
      </c>
      <c r="C112" t="s">
        <v>23</v>
      </c>
      <c r="D112">
        <v>150</v>
      </c>
      <c r="E112">
        <v>407</v>
      </c>
      <c r="F112" t="s">
        <v>20</v>
      </c>
      <c r="G112">
        <v>0</v>
      </c>
      <c r="H112">
        <v>154</v>
      </c>
      <c r="I112" t="s">
        <v>17</v>
      </c>
      <c r="J112">
        <v>4</v>
      </c>
      <c r="K112">
        <v>1</v>
      </c>
      <c r="L112">
        <v>3</v>
      </c>
      <c r="M112">
        <v>3</v>
      </c>
      <c r="N112" t="s">
        <v>25</v>
      </c>
    </row>
    <row r="113" spans="1:14" x14ac:dyDescent="0.3">
      <c r="A113">
        <v>63</v>
      </c>
      <c r="B113" t="s">
        <v>21</v>
      </c>
      <c r="C113" t="s">
        <v>23</v>
      </c>
      <c r="D113">
        <v>108</v>
      </c>
      <c r="E113">
        <v>269</v>
      </c>
      <c r="F113" t="s">
        <v>20</v>
      </c>
      <c r="G113">
        <v>1</v>
      </c>
      <c r="H113">
        <v>169</v>
      </c>
      <c r="I113" t="s">
        <v>24</v>
      </c>
      <c r="J113">
        <v>1.8</v>
      </c>
      <c r="K113">
        <v>1</v>
      </c>
      <c r="L113">
        <v>2</v>
      </c>
      <c r="M113">
        <v>2</v>
      </c>
      <c r="N113" t="s">
        <v>25</v>
      </c>
    </row>
    <row r="114" spans="1:14" x14ac:dyDescent="0.3">
      <c r="A114">
        <v>63</v>
      </c>
      <c r="B114" t="s">
        <v>14</v>
      </c>
      <c r="C114" t="s">
        <v>23</v>
      </c>
      <c r="D114">
        <v>140</v>
      </c>
      <c r="E114">
        <v>187</v>
      </c>
      <c r="F114" t="s">
        <v>20</v>
      </c>
      <c r="G114">
        <v>0</v>
      </c>
      <c r="H114">
        <v>144</v>
      </c>
      <c r="I114" t="s">
        <v>24</v>
      </c>
      <c r="J114">
        <v>4</v>
      </c>
      <c r="K114">
        <v>2</v>
      </c>
      <c r="L114">
        <v>2</v>
      </c>
      <c r="M114">
        <v>3</v>
      </c>
      <c r="N114" t="s">
        <v>25</v>
      </c>
    </row>
    <row r="115" spans="1:14" x14ac:dyDescent="0.3">
      <c r="A115">
        <v>63</v>
      </c>
      <c r="B115" t="s">
        <v>21</v>
      </c>
      <c r="C115" t="s">
        <v>23</v>
      </c>
      <c r="D115">
        <v>124</v>
      </c>
      <c r="E115">
        <v>197</v>
      </c>
      <c r="F115" t="s">
        <v>20</v>
      </c>
      <c r="G115">
        <v>1</v>
      </c>
      <c r="H115">
        <v>136</v>
      </c>
      <c r="I115" t="s">
        <v>24</v>
      </c>
      <c r="J115">
        <v>0</v>
      </c>
      <c r="K115">
        <v>1</v>
      </c>
      <c r="L115">
        <v>0</v>
      </c>
      <c r="M115">
        <v>2</v>
      </c>
      <c r="N115" t="s">
        <v>25</v>
      </c>
    </row>
    <row r="116" spans="1:14" x14ac:dyDescent="0.3">
      <c r="A116">
        <v>64</v>
      </c>
      <c r="B116" t="s">
        <v>14</v>
      </c>
      <c r="C116" t="s">
        <v>19</v>
      </c>
      <c r="D116">
        <v>140</v>
      </c>
      <c r="E116">
        <v>335</v>
      </c>
      <c r="F116" t="s">
        <v>20</v>
      </c>
      <c r="G116">
        <v>1</v>
      </c>
      <c r="H116">
        <v>158</v>
      </c>
      <c r="I116" t="s">
        <v>17</v>
      </c>
      <c r="J116">
        <v>0</v>
      </c>
      <c r="K116">
        <v>2</v>
      </c>
      <c r="L116">
        <v>0</v>
      </c>
      <c r="M116">
        <v>2</v>
      </c>
      <c r="N116" t="s">
        <v>25</v>
      </c>
    </row>
    <row r="117" spans="1:14" x14ac:dyDescent="0.3">
      <c r="A117">
        <v>64</v>
      </c>
      <c r="B117" t="s">
        <v>14</v>
      </c>
      <c r="C117" t="s">
        <v>19</v>
      </c>
      <c r="D117">
        <v>125</v>
      </c>
      <c r="E117">
        <v>309</v>
      </c>
      <c r="F117" t="s">
        <v>20</v>
      </c>
      <c r="G117">
        <v>1</v>
      </c>
      <c r="H117">
        <v>131</v>
      </c>
      <c r="I117" t="s">
        <v>24</v>
      </c>
      <c r="J117">
        <v>1.8</v>
      </c>
      <c r="K117">
        <v>1</v>
      </c>
      <c r="L117">
        <v>0</v>
      </c>
      <c r="M117">
        <v>3</v>
      </c>
      <c r="N117" t="s">
        <v>25</v>
      </c>
    </row>
    <row r="118" spans="1:14" x14ac:dyDescent="0.3">
      <c r="A118">
        <v>64</v>
      </c>
      <c r="B118" t="s">
        <v>14</v>
      </c>
      <c r="C118" t="s">
        <v>23</v>
      </c>
      <c r="D118">
        <v>120</v>
      </c>
      <c r="E118">
        <v>246</v>
      </c>
      <c r="F118" t="s">
        <v>20</v>
      </c>
      <c r="G118">
        <v>0</v>
      </c>
      <c r="H118">
        <v>96</v>
      </c>
      <c r="I118" t="s">
        <v>24</v>
      </c>
      <c r="J118">
        <v>2.2000000000000002</v>
      </c>
      <c r="K118">
        <v>0</v>
      </c>
      <c r="L118">
        <v>1</v>
      </c>
      <c r="M118">
        <v>2</v>
      </c>
      <c r="N118" t="s">
        <v>25</v>
      </c>
    </row>
    <row r="119" spans="1:14" x14ac:dyDescent="0.3">
      <c r="A119">
        <v>64</v>
      </c>
      <c r="B119" t="s">
        <v>14</v>
      </c>
      <c r="C119" t="s">
        <v>23</v>
      </c>
      <c r="D119">
        <v>145</v>
      </c>
      <c r="E119">
        <v>212</v>
      </c>
      <c r="F119" t="s">
        <v>20</v>
      </c>
      <c r="G119">
        <v>0</v>
      </c>
      <c r="H119">
        <v>132</v>
      </c>
      <c r="I119" t="s">
        <v>17</v>
      </c>
      <c r="J119">
        <v>2</v>
      </c>
      <c r="K119">
        <v>1</v>
      </c>
      <c r="L119">
        <v>2</v>
      </c>
      <c r="M119">
        <v>1</v>
      </c>
      <c r="N119" t="s">
        <v>25</v>
      </c>
    </row>
    <row r="120" spans="1:14" x14ac:dyDescent="0.3">
      <c r="A120">
        <v>65</v>
      </c>
      <c r="B120" t="s">
        <v>21</v>
      </c>
      <c r="C120" t="s">
        <v>23</v>
      </c>
      <c r="D120">
        <v>150</v>
      </c>
      <c r="E120">
        <v>225</v>
      </c>
      <c r="F120" t="s">
        <v>20</v>
      </c>
      <c r="G120">
        <v>0</v>
      </c>
      <c r="H120">
        <v>114</v>
      </c>
      <c r="I120" t="s">
        <v>17</v>
      </c>
      <c r="J120">
        <v>1</v>
      </c>
      <c r="K120">
        <v>1</v>
      </c>
      <c r="L120">
        <v>3</v>
      </c>
      <c r="M120">
        <v>3</v>
      </c>
      <c r="N120" t="s">
        <v>25</v>
      </c>
    </row>
    <row r="121" spans="1:14" x14ac:dyDescent="0.3">
      <c r="A121">
        <v>65</v>
      </c>
      <c r="B121" t="s">
        <v>14</v>
      </c>
      <c r="C121" t="s">
        <v>23</v>
      </c>
      <c r="D121">
        <v>110</v>
      </c>
      <c r="E121">
        <v>248</v>
      </c>
      <c r="F121" t="s">
        <v>20</v>
      </c>
      <c r="G121">
        <v>0</v>
      </c>
      <c r="H121">
        <v>158</v>
      </c>
      <c r="I121" t="s">
        <v>17</v>
      </c>
      <c r="J121">
        <v>0.6</v>
      </c>
      <c r="K121">
        <v>2</v>
      </c>
      <c r="L121">
        <v>2</v>
      </c>
      <c r="M121">
        <v>1</v>
      </c>
      <c r="N121" t="s">
        <v>25</v>
      </c>
    </row>
    <row r="122" spans="1:14" x14ac:dyDescent="0.3">
      <c r="A122">
        <v>65</v>
      </c>
      <c r="B122" t="s">
        <v>14</v>
      </c>
      <c r="C122" t="s">
        <v>23</v>
      </c>
      <c r="D122">
        <v>135</v>
      </c>
      <c r="E122">
        <v>254</v>
      </c>
      <c r="F122" t="s">
        <v>20</v>
      </c>
      <c r="G122">
        <v>0</v>
      </c>
      <c r="H122">
        <v>127</v>
      </c>
      <c r="I122" t="s">
        <v>17</v>
      </c>
      <c r="J122">
        <v>2.8</v>
      </c>
      <c r="K122">
        <v>1</v>
      </c>
      <c r="L122">
        <v>1</v>
      </c>
      <c r="M122">
        <v>3</v>
      </c>
      <c r="N122" t="s">
        <v>25</v>
      </c>
    </row>
    <row r="123" spans="1:14" x14ac:dyDescent="0.3">
      <c r="A123">
        <v>65</v>
      </c>
      <c r="B123" t="s">
        <v>14</v>
      </c>
      <c r="C123" t="s">
        <v>15</v>
      </c>
      <c r="D123">
        <v>138</v>
      </c>
      <c r="E123">
        <v>282</v>
      </c>
      <c r="F123" t="s">
        <v>16</v>
      </c>
      <c r="G123">
        <v>0</v>
      </c>
      <c r="H123">
        <v>174</v>
      </c>
      <c r="I123" t="s">
        <v>17</v>
      </c>
      <c r="J123">
        <v>1.4</v>
      </c>
      <c r="K123">
        <v>1</v>
      </c>
      <c r="L123">
        <v>1</v>
      </c>
      <c r="M123">
        <v>2</v>
      </c>
      <c r="N123" t="s">
        <v>25</v>
      </c>
    </row>
    <row r="124" spans="1:14" x14ac:dyDescent="0.3">
      <c r="A124">
        <v>66</v>
      </c>
      <c r="B124" t="s">
        <v>14</v>
      </c>
      <c r="C124" t="s">
        <v>22</v>
      </c>
      <c r="D124">
        <v>160</v>
      </c>
      <c r="E124">
        <v>246</v>
      </c>
      <c r="F124" t="s">
        <v>20</v>
      </c>
      <c r="G124">
        <v>1</v>
      </c>
      <c r="H124">
        <v>120</v>
      </c>
      <c r="I124" t="s">
        <v>24</v>
      </c>
      <c r="J124">
        <v>0</v>
      </c>
      <c r="K124">
        <v>1</v>
      </c>
      <c r="L124">
        <v>3</v>
      </c>
      <c r="M124">
        <v>1</v>
      </c>
      <c r="N124" t="s">
        <v>25</v>
      </c>
    </row>
    <row r="125" spans="1:14" x14ac:dyDescent="0.3">
      <c r="A125">
        <v>66</v>
      </c>
      <c r="B125" t="s">
        <v>21</v>
      </c>
      <c r="C125" t="s">
        <v>23</v>
      </c>
      <c r="D125">
        <v>178</v>
      </c>
      <c r="E125">
        <v>228</v>
      </c>
      <c r="F125" t="s">
        <v>16</v>
      </c>
      <c r="G125">
        <v>1</v>
      </c>
      <c r="H125">
        <v>165</v>
      </c>
      <c r="I125" t="s">
        <v>24</v>
      </c>
      <c r="J125">
        <v>1</v>
      </c>
      <c r="K125">
        <v>1</v>
      </c>
      <c r="L125">
        <v>2</v>
      </c>
      <c r="M125">
        <v>3</v>
      </c>
      <c r="N125" t="s">
        <v>25</v>
      </c>
    </row>
    <row r="126" spans="1:14" x14ac:dyDescent="0.3">
      <c r="A126">
        <v>66</v>
      </c>
      <c r="B126" t="s">
        <v>14</v>
      </c>
      <c r="C126" t="s">
        <v>23</v>
      </c>
      <c r="D126">
        <v>112</v>
      </c>
      <c r="E126">
        <v>212</v>
      </c>
      <c r="F126" t="s">
        <v>20</v>
      </c>
      <c r="G126">
        <v>0</v>
      </c>
      <c r="H126">
        <v>132</v>
      </c>
      <c r="I126" t="s">
        <v>24</v>
      </c>
      <c r="J126">
        <v>0.1</v>
      </c>
      <c r="K126">
        <v>2</v>
      </c>
      <c r="L126">
        <v>1</v>
      </c>
      <c r="M126">
        <v>2</v>
      </c>
      <c r="N126" t="s">
        <v>25</v>
      </c>
    </row>
    <row r="127" spans="1:14" x14ac:dyDescent="0.3">
      <c r="A127">
        <v>67</v>
      </c>
      <c r="B127" t="s">
        <v>14</v>
      </c>
      <c r="C127" t="s">
        <v>23</v>
      </c>
      <c r="D127">
        <v>160</v>
      </c>
      <c r="E127">
        <v>286</v>
      </c>
      <c r="F127" t="s">
        <v>20</v>
      </c>
      <c r="G127">
        <v>0</v>
      </c>
      <c r="H127">
        <v>108</v>
      </c>
      <c r="I127" t="s">
        <v>24</v>
      </c>
      <c r="J127">
        <v>1.5</v>
      </c>
      <c r="K127">
        <v>1</v>
      </c>
      <c r="L127">
        <v>3</v>
      </c>
      <c r="M127">
        <v>2</v>
      </c>
      <c r="N127" t="s">
        <v>25</v>
      </c>
    </row>
    <row r="128" spans="1:14" x14ac:dyDescent="0.3">
      <c r="A128">
        <v>67</v>
      </c>
      <c r="B128" t="s">
        <v>14</v>
      </c>
      <c r="C128" t="s">
        <v>23</v>
      </c>
      <c r="D128">
        <v>120</v>
      </c>
      <c r="E128">
        <v>229</v>
      </c>
      <c r="F128" t="s">
        <v>20</v>
      </c>
      <c r="G128">
        <v>0</v>
      </c>
      <c r="H128">
        <v>129</v>
      </c>
      <c r="I128" t="s">
        <v>24</v>
      </c>
      <c r="J128">
        <v>2.6</v>
      </c>
      <c r="K128">
        <v>1</v>
      </c>
      <c r="L128">
        <v>2</v>
      </c>
      <c r="M128">
        <v>3</v>
      </c>
      <c r="N128" t="s">
        <v>25</v>
      </c>
    </row>
    <row r="129" spans="1:14" x14ac:dyDescent="0.3">
      <c r="A129">
        <v>67</v>
      </c>
      <c r="B129" t="s">
        <v>14</v>
      </c>
      <c r="C129" t="s">
        <v>23</v>
      </c>
      <c r="D129">
        <v>125</v>
      </c>
      <c r="E129">
        <v>254</v>
      </c>
      <c r="F129" t="s">
        <v>16</v>
      </c>
      <c r="G129">
        <v>1</v>
      </c>
      <c r="H129">
        <v>163</v>
      </c>
      <c r="I129" t="s">
        <v>17</v>
      </c>
      <c r="J129">
        <v>0.2</v>
      </c>
      <c r="K129">
        <v>1</v>
      </c>
      <c r="L129">
        <v>2</v>
      </c>
      <c r="M129">
        <v>3</v>
      </c>
      <c r="N129" t="s">
        <v>25</v>
      </c>
    </row>
    <row r="130" spans="1:14" x14ac:dyDescent="0.3">
      <c r="A130">
        <v>67</v>
      </c>
      <c r="B130" t="s">
        <v>14</v>
      </c>
      <c r="C130" t="s">
        <v>23</v>
      </c>
      <c r="D130">
        <v>100</v>
      </c>
      <c r="E130">
        <v>299</v>
      </c>
      <c r="F130" t="s">
        <v>20</v>
      </c>
      <c r="G130">
        <v>0</v>
      </c>
      <c r="H130">
        <v>125</v>
      </c>
      <c r="I130" t="s">
        <v>24</v>
      </c>
      <c r="J130">
        <v>0.9</v>
      </c>
      <c r="K130">
        <v>1</v>
      </c>
      <c r="L130">
        <v>2</v>
      </c>
      <c r="M130">
        <v>2</v>
      </c>
      <c r="N130" t="s">
        <v>25</v>
      </c>
    </row>
    <row r="131" spans="1:14" x14ac:dyDescent="0.3">
      <c r="A131">
        <v>67</v>
      </c>
      <c r="B131" t="s">
        <v>14</v>
      </c>
      <c r="C131" t="s">
        <v>23</v>
      </c>
      <c r="D131">
        <v>120</v>
      </c>
      <c r="E131">
        <v>237</v>
      </c>
      <c r="F131" t="s">
        <v>20</v>
      </c>
      <c r="G131">
        <v>1</v>
      </c>
      <c r="H131">
        <v>71</v>
      </c>
      <c r="I131" t="s">
        <v>17</v>
      </c>
      <c r="J131">
        <v>1</v>
      </c>
      <c r="K131">
        <v>1</v>
      </c>
      <c r="L131">
        <v>0</v>
      </c>
      <c r="M131">
        <v>2</v>
      </c>
      <c r="N131" t="s">
        <v>25</v>
      </c>
    </row>
    <row r="132" spans="1:14" x14ac:dyDescent="0.3">
      <c r="A132">
        <v>67</v>
      </c>
      <c r="B132" t="s">
        <v>14</v>
      </c>
      <c r="C132" t="s">
        <v>19</v>
      </c>
      <c r="D132">
        <v>152</v>
      </c>
      <c r="E132">
        <v>212</v>
      </c>
      <c r="F132" t="s">
        <v>20</v>
      </c>
      <c r="G132">
        <v>0</v>
      </c>
      <c r="H132">
        <v>150</v>
      </c>
      <c r="I132" t="s">
        <v>17</v>
      </c>
      <c r="J132">
        <v>0.8</v>
      </c>
      <c r="K132">
        <v>1</v>
      </c>
      <c r="L132">
        <v>0</v>
      </c>
      <c r="M132">
        <v>3</v>
      </c>
      <c r="N132" t="s">
        <v>25</v>
      </c>
    </row>
    <row r="133" spans="1:14" x14ac:dyDescent="0.3">
      <c r="A133">
        <v>68</v>
      </c>
      <c r="B133" t="s">
        <v>14</v>
      </c>
      <c r="C133" t="s">
        <v>19</v>
      </c>
      <c r="D133">
        <v>180</v>
      </c>
      <c r="E133">
        <v>274</v>
      </c>
      <c r="F133" t="s">
        <v>16</v>
      </c>
      <c r="G133">
        <v>0</v>
      </c>
      <c r="H133">
        <v>150</v>
      </c>
      <c r="I133" t="s">
        <v>24</v>
      </c>
      <c r="J133">
        <v>1.6</v>
      </c>
      <c r="K133">
        <v>1</v>
      </c>
      <c r="L133">
        <v>0</v>
      </c>
      <c r="M133">
        <v>3</v>
      </c>
      <c r="N133" t="s">
        <v>25</v>
      </c>
    </row>
    <row r="134" spans="1:14" x14ac:dyDescent="0.3">
      <c r="A134">
        <v>68</v>
      </c>
      <c r="B134" t="s">
        <v>14</v>
      </c>
      <c r="C134" t="s">
        <v>23</v>
      </c>
      <c r="D134">
        <v>144</v>
      </c>
      <c r="E134">
        <v>193</v>
      </c>
      <c r="F134" t="s">
        <v>16</v>
      </c>
      <c r="G134">
        <v>1</v>
      </c>
      <c r="H134">
        <v>141</v>
      </c>
      <c r="I134" t="s">
        <v>17</v>
      </c>
      <c r="J134">
        <v>3.4</v>
      </c>
      <c r="K134">
        <v>1</v>
      </c>
      <c r="L134">
        <v>2</v>
      </c>
      <c r="M134">
        <v>3</v>
      </c>
      <c r="N134" t="s">
        <v>25</v>
      </c>
    </row>
    <row r="135" spans="1:14" x14ac:dyDescent="0.3">
      <c r="A135">
        <v>69</v>
      </c>
      <c r="B135" t="s">
        <v>14</v>
      </c>
      <c r="C135" t="s">
        <v>19</v>
      </c>
      <c r="D135">
        <v>140</v>
      </c>
      <c r="E135">
        <v>254</v>
      </c>
      <c r="F135" t="s">
        <v>20</v>
      </c>
      <c r="G135">
        <v>0</v>
      </c>
      <c r="H135">
        <v>146</v>
      </c>
      <c r="I135" t="s">
        <v>17</v>
      </c>
      <c r="J135">
        <v>2</v>
      </c>
      <c r="K135">
        <v>1</v>
      </c>
      <c r="L135">
        <v>3</v>
      </c>
      <c r="M135">
        <v>3</v>
      </c>
      <c r="N135" t="s">
        <v>25</v>
      </c>
    </row>
    <row r="136" spans="1:14" x14ac:dyDescent="0.3">
      <c r="A136">
        <v>70</v>
      </c>
      <c r="B136" t="s">
        <v>14</v>
      </c>
      <c r="C136" t="s">
        <v>23</v>
      </c>
      <c r="D136">
        <v>145</v>
      </c>
      <c r="E136">
        <v>174</v>
      </c>
      <c r="F136" t="s">
        <v>20</v>
      </c>
      <c r="G136">
        <v>1</v>
      </c>
      <c r="H136">
        <v>125</v>
      </c>
      <c r="I136" t="s">
        <v>24</v>
      </c>
      <c r="J136">
        <v>2.6</v>
      </c>
      <c r="K136">
        <v>0</v>
      </c>
      <c r="L136">
        <v>0</v>
      </c>
      <c r="M136">
        <v>3</v>
      </c>
      <c r="N136" t="s">
        <v>25</v>
      </c>
    </row>
    <row r="137" spans="1:14" x14ac:dyDescent="0.3">
      <c r="A137">
        <v>70</v>
      </c>
      <c r="B137" t="s">
        <v>14</v>
      </c>
      <c r="C137" t="s">
        <v>23</v>
      </c>
      <c r="D137">
        <v>130</v>
      </c>
      <c r="E137">
        <v>322</v>
      </c>
      <c r="F137" t="s">
        <v>20</v>
      </c>
      <c r="G137">
        <v>0</v>
      </c>
      <c r="H137">
        <v>109</v>
      </c>
      <c r="I137" t="s">
        <v>17</v>
      </c>
      <c r="J137">
        <v>2.4</v>
      </c>
      <c r="K137">
        <v>1</v>
      </c>
      <c r="L137">
        <v>3</v>
      </c>
      <c r="M137">
        <v>2</v>
      </c>
      <c r="N137" t="s">
        <v>25</v>
      </c>
    </row>
    <row r="138" spans="1:14" x14ac:dyDescent="0.3">
      <c r="A138">
        <v>70</v>
      </c>
      <c r="B138" t="s">
        <v>14</v>
      </c>
      <c r="C138" t="s">
        <v>19</v>
      </c>
      <c r="D138">
        <v>160</v>
      </c>
      <c r="E138">
        <v>269</v>
      </c>
      <c r="F138" t="s">
        <v>20</v>
      </c>
      <c r="G138">
        <v>1</v>
      </c>
      <c r="H138">
        <v>112</v>
      </c>
      <c r="I138" t="s">
        <v>24</v>
      </c>
      <c r="J138">
        <v>2.9</v>
      </c>
      <c r="K138">
        <v>1</v>
      </c>
      <c r="L138">
        <v>1</v>
      </c>
      <c r="M138">
        <v>3</v>
      </c>
      <c r="N138" t="s">
        <v>25</v>
      </c>
    </row>
    <row r="139" spans="1:14" x14ac:dyDescent="0.3">
      <c r="A139">
        <v>77</v>
      </c>
      <c r="B139" t="s">
        <v>14</v>
      </c>
      <c r="C139" t="s">
        <v>23</v>
      </c>
      <c r="D139">
        <v>125</v>
      </c>
      <c r="E139">
        <v>304</v>
      </c>
      <c r="F139" t="s">
        <v>20</v>
      </c>
      <c r="G139">
        <v>0</v>
      </c>
      <c r="H139">
        <v>162</v>
      </c>
      <c r="I139" t="s">
        <v>24</v>
      </c>
      <c r="J139">
        <v>0</v>
      </c>
      <c r="K139">
        <v>2</v>
      </c>
      <c r="L139">
        <v>3</v>
      </c>
      <c r="M139">
        <v>2</v>
      </c>
      <c r="N139" t="s">
        <v>25</v>
      </c>
    </row>
  </sheetData>
  <sortState xmlns:xlrd2="http://schemas.microsoft.com/office/spreadsheetml/2017/richdata2" ref="A2:N141">
    <sortCondition ref="A1:A14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DBE5-CC29-4415-ADEE-7A5AA40398BC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8"/>
      <c r="B3" s="9"/>
      <c r="C3" s="10"/>
    </row>
    <row r="4" spans="1:3" x14ac:dyDescent="0.3">
      <c r="A4" s="11"/>
      <c r="B4" s="12"/>
      <c r="C4" s="13"/>
    </row>
    <row r="5" spans="1:3" x14ac:dyDescent="0.3">
      <c r="A5" s="11"/>
      <c r="B5" s="12"/>
      <c r="C5" s="13"/>
    </row>
    <row r="6" spans="1:3" x14ac:dyDescent="0.3">
      <c r="A6" s="11"/>
      <c r="B6" s="12"/>
      <c r="C6" s="13"/>
    </row>
    <row r="7" spans="1:3" x14ac:dyDescent="0.3">
      <c r="A7" s="11"/>
      <c r="B7" s="12"/>
      <c r="C7" s="13"/>
    </row>
    <row r="8" spans="1:3" x14ac:dyDescent="0.3">
      <c r="A8" s="11"/>
      <c r="B8" s="12"/>
      <c r="C8" s="13"/>
    </row>
    <row r="9" spans="1:3" x14ac:dyDescent="0.3">
      <c r="A9" s="11"/>
      <c r="B9" s="12"/>
      <c r="C9" s="13"/>
    </row>
    <row r="10" spans="1:3" x14ac:dyDescent="0.3">
      <c r="A10" s="11"/>
      <c r="B10" s="12"/>
      <c r="C10" s="13"/>
    </row>
    <row r="11" spans="1:3" x14ac:dyDescent="0.3">
      <c r="A11" s="11"/>
      <c r="B11" s="12"/>
      <c r="C11" s="13"/>
    </row>
    <row r="12" spans="1:3" x14ac:dyDescent="0.3">
      <c r="A12" s="11"/>
      <c r="B12" s="12"/>
      <c r="C12" s="13"/>
    </row>
    <row r="13" spans="1:3" x14ac:dyDescent="0.3">
      <c r="A13" s="11"/>
      <c r="B13" s="12"/>
      <c r="C13" s="13"/>
    </row>
    <row r="14" spans="1:3" x14ac:dyDescent="0.3">
      <c r="A14" s="11"/>
      <c r="B14" s="12"/>
      <c r="C14" s="13"/>
    </row>
    <row r="15" spans="1:3" x14ac:dyDescent="0.3">
      <c r="A15" s="11"/>
      <c r="B15" s="12"/>
      <c r="C15" s="13"/>
    </row>
    <row r="16" spans="1:3" x14ac:dyDescent="0.3">
      <c r="A16" s="11"/>
      <c r="B16" s="12"/>
      <c r="C16" s="13"/>
    </row>
    <row r="17" spans="1:3" x14ac:dyDescent="0.3">
      <c r="A17" s="11"/>
      <c r="B17" s="12"/>
      <c r="C17" s="13"/>
    </row>
    <row r="18" spans="1:3" x14ac:dyDescent="0.3">
      <c r="A18" s="11"/>
      <c r="B18" s="12"/>
      <c r="C18" s="13"/>
    </row>
    <row r="19" spans="1:3" x14ac:dyDescent="0.3">
      <c r="A19" s="11"/>
      <c r="B19" s="12"/>
      <c r="C19" s="13"/>
    </row>
    <row r="20" spans="1:3" x14ac:dyDescent="0.3">
      <c r="A20" s="14"/>
      <c r="B20" s="15"/>
      <c r="C20" s="1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6779-ED52-4B5E-A23B-45DBA7A38B78}">
  <dimension ref="A1:J7"/>
  <sheetViews>
    <sheetView workbookViewId="0">
      <selection activeCell="B10" sqref="B10"/>
    </sheetView>
  </sheetViews>
  <sheetFormatPr defaultRowHeight="14.4" x14ac:dyDescent="0.3"/>
  <cols>
    <col min="1" max="1" width="12.5546875" bestFit="1" customWidth="1"/>
    <col min="2" max="2" width="13.33203125" bestFit="1" customWidth="1"/>
    <col min="3" max="3" width="25.109375" bestFit="1" customWidth="1"/>
    <col min="4" max="4" width="19.88671875" bestFit="1" customWidth="1"/>
    <col min="5" max="5" width="20" bestFit="1" customWidth="1"/>
    <col min="6" max="6" width="27" bestFit="1" customWidth="1"/>
    <col min="7" max="7" width="20.77734375" bestFit="1" customWidth="1"/>
    <col min="8" max="8" width="23.44140625" bestFit="1" customWidth="1"/>
    <col min="9" max="9" width="22.77734375" bestFit="1" customWidth="1"/>
    <col min="10" max="10" width="21.5546875" bestFit="1" customWidth="1"/>
  </cols>
  <sheetData>
    <row r="1" spans="1:10" x14ac:dyDescent="0.3">
      <c r="A1" s="18" t="s">
        <v>49</v>
      </c>
    </row>
    <row r="2" spans="1:10" x14ac:dyDescent="0.3">
      <c r="A2" s="18" t="s">
        <v>54</v>
      </c>
    </row>
    <row r="3" spans="1:10" x14ac:dyDescent="0.3">
      <c r="A3" s="18" t="s">
        <v>53</v>
      </c>
    </row>
    <row r="4" spans="1:10" x14ac:dyDescent="0.3">
      <c r="A4" s="2" t="s">
        <v>26</v>
      </c>
      <c r="B4" t="s">
        <v>29</v>
      </c>
      <c r="C4" t="s">
        <v>41</v>
      </c>
      <c r="D4" t="s">
        <v>45</v>
      </c>
      <c r="E4" t="s">
        <v>42</v>
      </c>
      <c r="F4" t="s">
        <v>46</v>
      </c>
      <c r="G4" t="s">
        <v>47</v>
      </c>
      <c r="H4" t="s">
        <v>43</v>
      </c>
      <c r="I4" t="s">
        <v>44</v>
      </c>
      <c r="J4" t="s">
        <v>51</v>
      </c>
    </row>
    <row r="5" spans="1:10" x14ac:dyDescent="0.3">
      <c r="A5" s="3" t="s">
        <v>21</v>
      </c>
      <c r="B5" s="4">
        <v>0.18045112781954886</v>
      </c>
      <c r="C5" s="7">
        <v>146.125</v>
      </c>
      <c r="D5" s="7">
        <v>0.54166666666666663</v>
      </c>
      <c r="E5" s="7">
        <v>274.95833333333331</v>
      </c>
      <c r="F5" s="7">
        <v>142.41666666666666</v>
      </c>
      <c r="G5" s="17">
        <v>24</v>
      </c>
      <c r="H5" s="7">
        <v>1.8416666666666666</v>
      </c>
      <c r="I5" s="7">
        <v>1.2916666666666667</v>
      </c>
      <c r="J5" s="7">
        <v>0.95833333333333337</v>
      </c>
    </row>
    <row r="6" spans="1:10" x14ac:dyDescent="0.3">
      <c r="A6" s="3" t="s">
        <v>14</v>
      </c>
      <c r="B6" s="4">
        <v>0.81954887218045114</v>
      </c>
      <c r="C6" s="7">
        <v>131.55963302752295</v>
      </c>
      <c r="D6" s="7">
        <v>0.43119266055045874</v>
      </c>
      <c r="E6" s="7">
        <v>245.21100917431193</v>
      </c>
      <c r="F6" s="7">
        <v>138.75229357798165</v>
      </c>
      <c r="G6" s="17">
        <v>109</v>
      </c>
      <c r="H6" s="7">
        <v>1.5110091743119274</v>
      </c>
      <c r="I6" s="7">
        <v>1.1009174311926606</v>
      </c>
      <c r="J6" s="7">
        <v>1.2201834862385321</v>
      </c>
    </row>
    <row r="7" spans="1:10" x14ac:dyDescent="0.3">
      <c r="A7" s="3" t="s">
        <v>27</v>
      </c>
      <c r="B7" s="4">
        <v>1</v>
      </c>
      <c r="C7" s="7">
        <v>134.18796992481202</v>
      </c>
      <c r="D7" s="7">
        <v>0.45112781954887216</v>
      </c>
      <c r="E7" s="7">
        <v>250.57894736842104</v>
      </c>
      <c r="F7" s="7">
        <v>139.41353383458647</v>
      </c>
      <c r="G7" s="17">
        <v>133</v>
      </c>
      <c r="H7" s="7">
        <v>1.5706766917293233</v>
      </c>
      <c r="I7" s="7">
        <v>1.1353383458646618</v>
      </c>
      <c r="J7" s="7">
        <v>1.1729323308270676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3479-7E7B-4A23-99C8-8E612355C29F}">
  <sheetPr filterMode="1"/>
  <dimension ref="A1:N139"/>
  <sheetViews>
    <sheetView workbookViewId="0">
      <pane ySplit="1" topLeftCell="A11" activePane="bottomLeft" state="frozen"/>
      <selection pane="bottomLeft" sqref="A1:N134"/>
    </sheetView>
  </sheetViews>
  <sheetFormatPr defaultRowHeight="14.4" x14ac:dyDescent="0.3"/>
  <cols>
    <col min="1" max="1" width="8.109375" bestFit="1" customWidth="1"/>
    <col min="2" max="2" width="8.44140625" bestFit="1" customWidth="1"/>
    <col min="3" max="3" width="18.109375" bestFit="1" customWidth="1"/>
    <col min="4" max="4" width="15.33203125" bestFit="1" customWidth="1"/>
    <col min="5" max="5" width="10.21875" bestFit="1" customWidth="1"/>
    <col min="6" max="6" width="15.33203125" bestFit="1" customWidth="1"/>
    <col min="7" max="7" width="10.109375" bestFit="1" customWidth="1"/>
    <col min="8" max="8" width="17.21875" bestFit="1" customWidth="1"/>
    <col min="9" max="9" width="12.77734375" bestFit="1" customWidth="1"/>
    <col min="10" max="10" width="13.6640625" bestFit="1" customWidth="1"/>
    <col min="11" max="11" width="11.6640625" bestFit="1" customWidth="1"/>
    <col min="12" max="12" width="12.88671875" bestFit="1" customWidth="1"/>
    <col min="13" max="13" width="9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>
        <v>35</v>
      </c>
      <c r="B2" t="s">
        <v>14</v>
      </c>
      <c r="C2" t="s">
        <v>23</v>
      </c>
      <c r="D2">
        <v>120</v>
      </c>
      <c r="E2">
        <v>198</v>
      </c>
      <c r="F2" t="s">
        <v>20</v>
      </c>
      <c r="G2">
        <v>1</v>
      </c>
      <c r="H2">
        <v>130</v>
      </c>
      <c r="I2" t="s">
        <v>24</v>
      </c>
      <c r="J2">
        <v>1.6</v>
      </c>
      <c r="K2">
        <v>1</v>
      </c>
      <c r="L2">
        <v>0</v>
      </c>
      <c r="M2">
        <v>3</v>
      </c>
      <c r="N2" t="s">
        <v>25</v>
      </c>
    </row>
    <row r="3" spans="1:14" hidden="1" x14ac:dyDescent="0.3">
      <c r="A3">
        <v>35</v>
      </c>
      <c r="B3" t="s">
        <v>14</v>
      </c>
      <c r="C3" t="s">
        <v>23</v>
      </c>
      <c r="D3">
        <v>126</v>
      </c>
      <c r="E3">
        <v>282</v>
      </c>
      <c r="F3" t="s">
        <v>20</v>
      </c>
      <c r="G3">
        <v>0</v>
      </c>
      <c r="H3">
        <v>156</v>
      </c>
      <c r="I3" t="s">
        <v>24</v>
      </c>
      <c r="J3">
        <v>0</v>
      </c>
      <c r="K3">
        <v>2</v>
      </c>
      <c r="L3">
        <v>0</v>
      </c>
      <c r="M3">
        <v>3</v>
      </c>
      <c r="N3" t="s">
        <v>25</v>
      </c>
    </row>
    <row r="4" spans="1:14" hidden="1" x14ac:dyDescent="0.3">
      <c r="A4">
        <v>38</v>
      </c>
      <c r="B4" t="s">
        <v>14</v>
      </c>
      <c r="C4" t="s">
        <v>15</v>
      </c>
      <c r="D4">
        <v>120</v>
      </c>
      <c r="E4">
        <v>231</v>
      </c>
      <c r="F4" t="s">
        <v>20</v>
      </c>
      <c r="G4">
        <v>1</v>
      </c>
      <c r="H4">
        <v>182</v>
      </c>
      <c r="I4" t="s">
        <v>24</v>
      </c>
      <c r="J4">
        <v>3.8</v>
      </c>
      <c r="K4">
        <v>1</v>
      </c>
      <c r="L4">
        <v>0</v>
      </c>
      <c r="M4">
        <v>3</v>
      </c>
      <c r="N4" t="s">
        <v>25</v>
      </c>
    </row>
    <row r="5" spans="1:14" hidden="1" x14ac:dyDescent="0.3">
      <c r="A5">
        <v>39</v>
      </c>
      <c r="B5" t="s">
        <v>14</v>
      </c>
      <c r="C5" t="s">
        <v>23</v>
      </c>
      <c r="D5">
        <v>118</v>
      </c>
      <c r="E5">
        <v>219</v>
      </c>
      <c r="F5" t="s">
        <v>20</v>
      </c>
      <c r="G5">
        <v>1</v>
      </c>
      <c r="H5">
        <v>140</v>
      </c>
      <c r="I5" t="s">
        <v>17</v>
      </c>
      <c r="J5">
        <v>1.2</v>
      </c>
      <c r="K5">
        <v>1</v>
      </c>
      <c r="L5">
        <v>0</v>
      </c>
      <c r="M5">
        <v>3</v>
      </c>
      <c r="N5" t="s">
        <v>25</v>
      </c>
    </row>
    <row r="6" spans="1:14" hidden="1" x14ac:dyDescent="0.3">
      <c r="A6">
        <v>40</v>
      </c>
      <c r="B6" t="s">
        <v>14</v>
      </c>
      <c r="C6" t="s">
        <v>23</v>
      </c>
      <c r="D6">
        <v>110</v>
      </c>
      <c r="E6">
        <v>167</v>
      </c>
      <c r="F6" t="s">
        <v>20</v>
      </c>
      <c r="G6">
        <v>0</v>
      </c>
      <c r="H6">
        <v>114</v>
      </c>
      <c r="I6" t="s">
        <v>24</v>
      </c>
      <c r="J6">
        <v>2</v>
      </c>
      <c r="K6">
        <v>1</v>
      </c>
      <c r="L6">
        <v>0</v>
      </c>
      <c r="M6">
        <v>3</v>
      </c>
      <c r="N6" t="s">
        <v>25</v>
      </c>
    </row>
    <row r="7" spans="1:14" hidden="1" x14ac:dyDescent="0.3">
      <c r="A7">
        <v>40</v>
      </c>
      <c r="B7" t="s">
        <v>14</v>
      </c>
      <c r="C7" t="s">
        <v>23</v>
      </c>
      <c r="D7">
        <v>152</v>
      </c>
      <c r="E7">
        <v>223</v>
      </c>
      <c r="F7" t="s">
        <v>20</v>
      </c>
      <c r="G7">
        <v>1</v>
      </c>
      <c r="H7">
        <v>181</v>
      </c>
      <c r="I7" t="s">
        <v>17</v>
      </c>
      <c r="J7">
        <v>0</v>
      </c>
      <c r="K7">
        <v>2</v>
      </c>
      <c r="L7">
        <v>0</v>
      </c>
      <c r="M7">
        <v>3</v>
      </c>
      <c r="N7" t="s">
        <v>25</v>
      </c>
    </row>
    <row r="8" spans="1:14" hidden="1" x14ac:dyDescent="0.3">
      <c r="A8">
        <v>41</v>
      </c>
      <c r="B8" t="s">
        <v>14</v>
      </c>
      <c r="C8" t="s">
        <v>23</v>
      </c>
      <c r="D8">
        <v>110</v>
      </c>
      <c r="E8">
        <v>172</v>
      </c>
      <c r="F8" t="s">
        <v>20</v>
      </c>
      <c r="G8">
        <v>0</v>
      </c>
      <c r="H8">
        <v>158</v>
      </c>
      <c r="I8" t="s">
        <v>17</v>
      </c>
      <c r="J8">
        <v>0</v>
      </c>
      <c r="K8">
        <v>2</v>
      </c>
      <c r="L8">
        <v>0</v>
      </c>
      <c r="M8">
        <v>3</v>
      </c>
      <c r="N8" t="s">
        <v>25</v>
      </c>
    </row>
    <row r="9" spans="1:14" hidden="1" x14ac:dyDescent="0.3">
      <c r="A9">
        <v>42</v>
      </c>
      <c r="B9" t="s">
        <v>14</v>
      </c>
      <c r="C9" t="s">
        <v>23</v>
      </c>
      <c r="D9">
        <v>136</v>
      </c>
      <c r="E9">
        <v>315</v>
      </c>
      <c r="F9" t="s">
        <v>20</v>
      </c>
      <c r="G9">
        <v>1</v>
      </c>
      <c r="H9">
        <v>125</v>
      </c>
      <c r="I9" t="s">
        <v>24</v>
      </c>
      <c r="J9">
        <v>1.8</v>
      </c>
      <c r="K9">
        <v>1</v>
      </c>
      <c r="L9">
        <v>0</v>
      </c>
      <c r="M9">
        <v>1</v>
      </c>
      <c r="N9" t="s">
        <v>25</v>
      </c>
    </row>
    <row r="10" spans="1:14" hidden="1" x14ac:dyDescent="0.3">
      <c r="A10">
        <v>43</v>
      </c>
      <c r="B10" t="s">
        <v>14</v>
      </c>
      <c r="C10" t="s">
        <v>23</v>
      </c>
      <c r="D10">
        <v>120</v>
      </c>
      <c r="E10">
        <v>177</v>
      </c>
      <c r="F10" t="s">
        <v>20</v>
      </c>
      <c r="G10">
        <v>0</v>
      </c>
      <c r="H10">
        <v>120</v>
      </c>
      <c r="I10" t="s">
        <v>24</v>
      </c>
      <c r="J10">
        <v>2.5</v>
      </c>
      <c r="K10">
        <v>1</v>
      </c>
      <c r="L10">
        <v>0</v>
      </c>
      <c r="M10">
        <v>3</v>
      </c>
      <c r="N10" t="s">
        <v>25</v>
      </c>
    </row>
    <row r="11" spans="1:14" x14ac:dyDescent="0.3">
      <c r="A11">
        <v>43</v>
      </c>
      <c r="B11" t="s">
        <v>21</v>
      </c>
      <c r="C11" t="s">
        <v>23</v>
      </c>
      <c r="D11">
        <v>132</v>
      </c>
      <c r="E11">
        <v>341</v>
      </c>
      <c r="F11" t="s">
        <v>16</v>
      </c>
      <c r="G11">
        <v>0</v>
      </c>
      <c r="H11">
        <v>136</v>
      </c>
      <c r="I11" t="s">
        <v>24</v>
      </c>
      <c r="J11">
        <v>3</v>
      </c>
      <c r="K11">
        <v>1</v>
      </c>
      <c r="L11">
        <v>0</v>
      </c>
      <c r="M11">
        <v>3</v>
      </c>
      <c r="N11" t="s">
        <v>25</v>
      </c>
    </row>
    <row r="12" spans="1:14" x14ac:dyDescent="0.3">
      <c r="A12">
        <v>43</v>
      </c>
      <c r="B12" t="s">
        <v>14</v>
      </c>
      <c r="C12" t="s">
        <v>23</v>
      </c>
      <c r="D12">
        <v>132</v>
      </c>
      <c r="E12">
        <v>247</v>
      </c>
      <c r="F12" t="s">
        <v>16</v>
      </c>
      <c r="G12">
        <v>0</v>
      </c>
      <c r="H12">
        <v>143</v>
      </c>
      <c r="I12" t="s">
        <v>24</v>
      </c>
      <c r="J12">
        <v>0.1</v>
      </c>
      <c r="K12">
        <v>1</v>
      </c>
      <c r="L12">
        <v>4</v>
      </c>
      <c r="M12">
        <v>3</v>
      </c>
      <c r="N12" t="s">
        <v>25</v>
      </c>
    </row>
    <row r="13" spans="1:14" hidden="1" x14ac:dyDescent="0.3">
      <c r="A13">
        <v>44</v>
      </c>
      <c r="B13" t="s">
        <v>14</v>
      </c>
      <c r="C13" t="s">
        <v>23</v>
      </c>
      <c r="D13">
        <v>112</v>
      </c>
      <c r="E13">
        <v>290</v>
      </c>
      <c r="F13" t="s">
        <v>20</v>
      </c>
      <c r="G13">
        <v>0</v>
      </c>
      <c r="H13">
        <v>153</v>
      </c>
      <c r="I13" t="s">
        <v>17</v>
      </c>
      <c r="J13">
        <v>0</v>
      </c>
      <c r="K13">
        <v>2</v>
      </c>
      <c r="L13">
        <v>1</v>
      </c>
      <c r="M13">
        <v>2</v>
      </c>
      <c r="N13" t="s">
        <v>25</v>
      </c>
    </row>
    <row r="14" spans="1:14" hidden="1" x14ac:dyDescent="0.3">
      <c r="A14">
        <v>44</v>
      </c>
      <c r="B14" t="s">
        <v>14</v>
      </c>
      <c r="C14" t="s">
        <v>23</v>
      </c>
      <c r="D14">
        <v>110</v>
      </c>
      <c r="E14">
        <v>197</v>
      </c>
      <c r="F14" t="s">
        <v>20</v>
      </c>
      <c r="G14">
        <v>0</v>
      </c>
      <c r="H14">
        <v>177</v>
      </c>
      <c r="I14" t="s">
        <v>17</v>
      </c>
      <c r="J14">
        <v>0</v>
      </c>
      <c r="K14">
        <v>2</v>
      </c>
      <c r="L14">
        <v>1</v>
      </c>
      <c r="M14">
        <v>2</v>
      </c>
      <c r="N14" t="s">
        <v>25</v>
      </c>
    </row>
    <row r="15" spans="1:14" hidden="1" x14ac:dyDescent="0.3">
      <c r="A15">
        <v>44</v>
      </c>
      <c r="B15" t="s">
        <v>14</v>
      </c>
      <c r="C15" t="s">
        <v>23</v>
      </c>
      <c r="D15">
        <v>120</v>
      </c>
      <c r="E15">
        <v>169</v>
      </c>
      <c r="F15" t="s">
        <v>20</v>
      </c>
      <c r="G15">
        <v>1</v>
      </c>
      <c r="H15">
        <v>144</v>
      </c>
      <c r="I15" t="s">
        <v>24</v>
      </c>
      <c r="J15">
        <v>2.8</v>
      </c>
      <c r="K15">
        <v>0</v>
      </c>
      <c r="L15">
        <v>0</v>
      </c>
      <c r="M15">
        <v>1</v>
      </c>
      <c r="N15" t="s">
        <v>25</v>
      </c>
    </row>
    <row r="16" spans="1:14" hidden="1" x14ac:dyDescent="0.3">
      <c r="A16">
        <v>45</v>
      </c>
      <c r="B16" t="s">
        <v>14</v>
      </c>
      <c r="C16" t="s">
        <v>23</v>
      </c>
      <c r="D16">
        <v>142</v>
      </c>
      <c r="E16">
        <v>309</v>
      </c>
      <c r="F16" t="s">
        <v>20</v>
      </c>
      <c r="G16">
        <v>0</v>
      </c>
      <c r="H16">
        <v>147</v>
      </c>
      <c r="I16" t="s">
        <v>24</v>
      </c>
      <c r="J16">
        <v>0</v>
      </c>
      <c r="K16">
        <v>1</v>
      </c>
      <c r="L16">
        <v>3</v>
      </c>
      <c r="M16">
        <v>3</v>
      </c>
      <c r="N16" t="s">
        <v>25</v>
      </c>
    </row>
    <row r="17" spans="1:14" hidden="1" x14ac:dyDescent="0.3">
      <c r="A17">
        <v>45</v>
      </c>
      <c r="B17" t="s">
        <v>14</v>
      </c>
      <c r="C17" t="s">
        <v>15</v>
      </c>
      <c r="D17">
        <v>110</v>
      </c>
      <c r="E17">
        <v>264</v>
      </c>
      <c r="F17" t="s">
        <v>20</v>
      </c>
      <c r="G17">
        <v>1</v>
      </c>
      <c r="H17">
        <v>132</v>
      </c>
      <c r="I17" t="s">
        <v>17</v>
      </c>
      <c r="J17">
        <v>1.2</v>
      </c>
      <c r="K17">
        <v>1</v>
      </c>
      <c r="L17">
        <v>0</v>
      </c>
      <c r="M17">
        <v>3</v>
      </c>
      <c r="N17" t="s">
        <v>25</v>
      </c>
    </row>
    <row r="18" spans="1:14" hidden="1" x14ac:dyDescent="0.3">
      <c r="A18">
        <v>46</v>
      </c>
      <c r="B18" t="s">
        <v>14</v>
      </c>
      <c r="C18" t="s">
        <v>19</v>
      </c>
      <c r="D18">
        <v>150</v>
      </c>
      <c r="E18">
        <v>231</v>
      </c>
      <c r="F18" t="s">
        <v>20</v>
      </c>
      <c r="G18">
        <v>1</v>
      </c>
      <c r="H18">
        <v>147</v>
      </c>
      <c r="I18" t="s">
        <v>17</v>
      </c>
      <c r="J18">
        <v>3.6</v>
      </c>
      <c r="K18">
        <v>1</v>
      </c>
      <c r="L18">
        <v>0</v>
      </c>
      <c r="M18">
        <v>2</v>
      </c>
      <c r="N18" t="s">
        <v>25</v>
      </c>
    </row>
    <row r="19" spans="1:14" hidden="1" x14ac:dyDescent="0.3">
      <c r="A19">
        <v>46</v>
      </c>
      <c r="B19" t="s">
        <v>14</v>
      </c>
      <c r="C19" t="s">
        <v>23</v>
      </c>
      <c r="D19">
        <v>120</v>
      </c>
      <c r="E19">
        <v>249</v>
      </c>
      <c r="F19" t="s">
        <v>20</v>
      </c>
      <c r="G19">
        <v>0</v>
      </c>
      <c r="H19">
        <v>144</v>
      </c>
      <c r="I19" t="s">
        <v>17</v>
      </c>
      <c r="J19">
        <v>0.8</v>
      </c>
      <c r="K19">
        <v>2</v>
      </c>
      <c r="L19">
        <v>0</v>
      </c>
      <c r="M19">
        <v>3</v>
      </c>
      <c r="N19" t="s">
        <v>25</v>
      </c>
    </row>
    <row r="20" spans="1:14" hidden="1" x14ac:dyDescent="0.3">
      <c r="A20">
        <v>46</v>
      </c>
      <c r="B20" t="s">
        <v>14</v>
      </c>
      <c r="C20" t="s">
        <v>23</v>
      </c>
      <c r="D20">
        <v>140</v>
      </c>
      <c r="E20">
        <v>311</v>
      </c>
      <c r="F20" t="s">
        <v>20</v>
      </c>
      <c r="G20">
        <v>1</v>
      </c>
      <c r="H20">
        <v>120</v>
      </c>
      <c r="I20" t="s">
        <v>24</v>
      </c>
      <c r="J20">
        <v>1.8</v>
      </c>
      <c r="K20">
        <v>1</v>
      </c>
      <c r="L20">
        <v>2</v>
      </c>
      <c r="M20">
        <v>3</v>
      </c>
      <c r="N20" t="s">
        <v>25</v>
      </c>
    </row>
    <row r="21" spans="1:14" hidden="1" x14ac:dyDescent="0.3">
      <c r="A21">
        <v>47</v>
      </c>
      <c r="B21" t="s">
        <v>14</v>
      </c>
      <c r="C21" t="s">
        <v>19</v>
      </c>
      <c r="D21">
        <v>108</v>
      </c>
      <c r="E21">
        <v>243</v>
      </c>
      <c r="F21" t="s">
        <v>20</v>
      </c>
      <c r="G21">
        <v>1</v>
      </c>
      <c r="H21">
        <v>152</v>
      </c>
      <c r="I21" t="s">
        <v>17</v>
      </c>
      <c r="J21">
        <v>0</v>
      </c>
      <c r="K21">
        <v>2</v>
      </c>
      <c r="L21">
        <v>0</v>
      </c>
      <c r="M21">
        <v>2</v>
      </c>
      <c r="N21" t="s">
        <v>25</v>
      </c>
    </row>
    <row r="22" spans="1:14" hidden="1" x14ac:dyDescent="0.3">
      <c r="A22">
        <v>47</v>
      </c>
      <c r="B22" t="s">
        <v>14</v>
      </c>
      <c r="C22" t="s">
        <v>23</v>
      </c>
      <c r="D22">
        <v>110</v>
      </c>
      <c r="E22">
        <v>275</v>
      </c>
      <c r="F22" t="s">
        <v>20</v>
      </c>
      <c r="G22">
        <v>0</v>
      </c>
      <c r="H22">
        <v>118</v>
      </c>
      <c r="I22" t="s">
        <v>24</v>
      </c>
      <c r="J22">
        <v>1</v>
      </c>
      <c r="K22">
        <v>1</v>
      </c>
      <c r="L22">
        <v>1</v>
      </c>
      <c r="M22">
        <v>2</v>
      </c>
      <c r="N22" t="s">
        <v>25</v>
      </c>
    </row>
    <row r="23" spans="1:14" hidden="1" x14ac:dyDescent="0.3">
      <c r="A23">
        <v>48</v>
      </c>
      <c r="B23" t="s">
        <v>14</v>
      </c>
      <c r="C23" t="s">
        <v>22</v>
      </c>
      <c r="D23">
        <v>110</v>
      </c>
      <c r="E23">
        <v>229</v>
      </c>
      <c r="F23" t="s">
        <v>20</v>
      </c>
      <c r="G23">
        <v>1</v>
      </c>
      <c r="H23">
        <v>168</v>
      </c>
      <c r="I23" t="s">
        <v>17</v>
      </c>
      <c r="J23">
        <v>1</v>
      </c>
      <c r="K23">
        <v>0</v>
      </c>
      <c r="L23">
        <v>0</v>
      </c>
      <c r="M23">
        <v>3</v>
      </c>
      <c r="N23" t="s">
        <v>25</v>
      </c>
    </row>
    <row r="24" spans="1:14" x14ac:dyDescent="0.3">
      <c r="A24">
        <v>48</v>
      </c>
      <c r="B24" t="s">
        <v>14</v>
      </c>
      <c r="C24" t="s">
        <v>23</v>
      </c>
      <c r="D24">
        <v>130</v>
      </c>
      <c r="E24">
        <v>256</v>
      </c>
      <c r="F24" t="s">
        <v>16</v>
      </c>
      <c r="G24">
        <v>0</v>
      </c>
      <c r="H24">
        <v>150</v>
      </c>
      <c r="I24" t="s">
        <v>24</v>
      </c>
      <c r="J24">
        <v>0</v>
      </c>
      <c r="K24">
        <v>2</v>
      </c>
      <c r="L24">
        <v>2</v>
      </c>
      <c r="M24">
        <v>3</v>
      </c>
      <c r="N24" t="s">
        <v>25</v>
      </c>
    </row>
    <row r="25" spans="1:14" hidden="1" x14ac:dyDescent="0.3">
      <c r="A25">
        <v>48</v>
      </c>
      <c r="B25" t="s">
        <v>14</v>
      </c>
      <c r="C25" t="s">
        <v>23</v>
      </c>
      <c r="D25">
        <v>124</v>
      </c>
      <c r="E25">
        <v>274</v>
      </c>
      <c r="F25" t="s">
        <v>20</v>
      </c>
      <c r="G25">
        <v>0</v>
      </c>
      <c r="H25">
        <v>166</v>
      </c>
      <c r="I25" t="s">
        <v>17</v>
      </c>
      <c r="J25">
        <v>0.5</v>
      </c>
      <c r="K25">
        <v>1</v>
      </c>
      <c r="L25">
        <v>0</v>
      </c>
      <c r="M25">
        <v>3</v>
      </c>
      <c r="N25" t="s">
        <v>25</v>
      </c>
    </row>
    <row r="26" spans="1:14" hidden="1" x14ac:dyDescent="0.3">
      <c r="A26">
        <v>49</v>
      </c>
      <c r="B26" t="s">
        <v>14</v>
      </c>
      <c r="C26" t="s">
        <v>19</v>
      </c>
      <c r="D26">
        <v>120</v>
      </c>
      <c r="E26">
        <v>188</v>
      </c>
      <c r="F26" t="s">
        <v>20</v>
      </c>
      <c r="G26">
        <v>1</v>
      </c>
      <c r="H26">
        <v>139</v>
      </c>
      <c r="I26" t="s">
        <v>17</v>
      </c>
      <c r="J26">
        <v>2</v>
      </c>
      <c r="K26">
        <v>1</v>
      </c>
      <c r="L26">
        <v>3</v>
      </c>
      <c r="M26">
        <v>3</v>
      </c>
      <c r="N26" t="s">
        <v>25</v>
      </c>
    </row>
    <row r="27" spans="1:14" hidden="1" x14ac:dyDescent="0.3">
      <c r="A27">
        <v>49</v>
      </c>
      <c r="B27" t="s">
        <v>14</v>
      </c>
      <c r="C27" t="s">
        <v>19</v>
      </c>
      <c r="D27">
        <v>118</v>
      </c>
      <c r="E27">
        <v>149</v>
      </c>
      <c r="F27" t="s">
        <v>20</v>
      </c>
      <c r="G27">
        <v>0</v>
      </c>
      <c r="H27">
        <v>126</v>
      </c>
      <c r="I27" t="s">
        <v>17</v>
      </c>
      <c r="J27">
        <v>0.8</v>
      </c>
      <c r="K27">
        <v>2</v>
      </c>
      <c r="L27">
        <v>3</v>
      </c>
      <c r="M27">
        <v>2</v>
      </c>
      <c r="N27" t="s">
        <v>25</v>
      </c>
    </row>
    <row r="28" spans="1:14" hidden="1" x14ac:dyDescent="0.3">
      <c r="A28">
        <v>50</v>
      </c>
      <c r="B28" t="s">
        <v>14</v>
      </c>
      <c r="C28" t="s">
        <v>23</v>
      </c>
      <c r="D28">
        <v>150</v>
      </c>
      <c r="E28">
        <v>243</v>
      </c>
      <c r="F28" t="s">
        <v>20</v>
      </c>
      <c r="G28">
        <v>0</v>
      </c>
      <c r="H28">
        <v>128</v>
      </c>
      <c r="I28" t="s">
        <v>17</v>
      </c>
      <c r="J28">
        <v>2.6</v>
      </c>
      <c r="K28">
        <v>1</v>
      </c>
      <c r="L28">
        <v>0</v>
      </c>
      <c r="M28">
        <v>3</v>
      </c>
      <c r="N28" t="s">
        <v>25</v>
      </c>
    </row>
    <row r="29" spans="1:14" hidden="1" x14ac:dyDescent="0.3">
      <c r="A29">
        <v>50</v>
      </c>
      <c r="B29" t="s">
        <v>14</v>
      </c>
      <c r="C29" t="s">
        <v>19</v>
      </c>
      <c r="D29">
        <v>140</v>
      </c>
      <c r="E29">
        <v>233</v>
      </c>
      <c r="F29" t="s">
        <v>20</v>
      </c>
      <c r="G29">
        <v>1</v>
      </c>
      <c r="H29">
        <v>163</v>
      </c>
      <c r="I29" t="s">
        <v>17</v>
      </c>
      <c r="J29">
        <v>0.6</v>
      </c>
      <c r="K29">
        <v>1</v>
      </c>
      <c r="L29">
        <v>1</v>
      </c>
      <c r="M29">
        <v>3</v>
      </c>
      <c r="N29" t="s">
        <v>25</v>
      </c>
    </row>
    <row r="30" spans="1:14" hidden="1" x14ac:dyDescent="0.3">
      <c r="A30">
        <v>50</v>
      </c>
      <c r="B30" t="s">
        <v>14</v>
      </c>
      <c r="C30" t="s">
        <v>23</v>
      </c>
      <c r="D30">
        <v>144</v>
      </c>
      <c r="E30">
        <v>200</v>
      </c>
      <c r="F30" t="s">
        <v>20</v>
      </c>
      <c r="G30">
        <v>0</v>
      </c>
      <c r="H30">
        <v>126</v>
      </c>
      <c r="I30" t="s">
        <v>24</v>
      </c>
      <c r="J30">
        <v>0.9</v>
      </c>
      <c r="K30">
        <v>1</v>
      </c>
      <c r="L30">
        <v>0</v>
      </c>
      <c r="M30">
        <v>3</v>
      </c>
      <c r="N30" t="s">
        <v>25</v>
      </c>
    </row>
    <row r="31" spans="1:14" hidden="1" x14ac:dyDescent="0.3">
      <c r="A31">
        <v>51</v>
      </c>
      <c r="B31" t="s">
        <v>21</v>
      </c>
      <c r="C31" t="s">
        <v>23</v>
      </c>
      <c r="D31">
        <v>130</v>
      </c>
      <c r="E31">
        <v>305</v>
      </c>
      <c r="F31" t="s">
        <v>20</v>
      </c>
      <c r="G31">
        <v>1</v>
      </c>
      <c r="H31">
        <v>142</v>
      </c>
      <c r="I31" t="s">
        <v>24</v>
      </c>
      <c r="J31">
        <v>1.2</v>
      </c>
      <c r="K31">
        <v>1</v>
      </c>
      <c r="L31">
        <v>0</v>
      </c>
      <c r="M31">
        <v>3</v>
      </c>
      <c r="N31" t="s">
        <v>25</v>
      </c>
    </row>
    <row r="32" spans="1:14" hidden="1" x14ac:dyDescent="0.3">
      <c r="A32">
        <v>51</v>
      </c>
      <c r="B32" t="s">
        <v>14</v>
      </c>
      <c r="C32" t="s">
        <v>23</v>
      </c>
      <c r="D32">
        <v>140</v>
      </c>
      <c r="E32">
        <v>299</v>
      </c>
      <c r="F32" t="s">
        <v>20</v>
      </c>
      <c r="G32">
        <v>1</v>
      </c>
      <c r="H32">
        <v>173</v>
      </c>
      <c r="I32" t="s">
        <v>24</v>
      </c>
      <c r="J32">
        <v>1.6</v>
      </c>
      <c r="K32">
        <v>2</v>
      </c>
      <c r="L32">
        <v>0</v>
      </c>
      <c r="M32">
        <v>3</v>
      </c>
      <c r="N32" t="s">
        <v>25</v>
      </c>
    </row>
    <row r="33" spans="1:14" hidden="1" x14ac:dyDescent="0.3">
      <c r="A33">
        <v>51</v>
      </c>
      <c r="B33" t="s">
        <v>14</v>
      </c>
      <c r="C33" t="s">
        <v>23</v>
      </c>
      <c r="D33">
        <v>140</v>
      </c>
      <c r="E33">
        <v>298</v>
      </c>
      <c r="F33" t="s">
        <v>20</v>
      </c>
      <c r="G33">
        <v>1</v>
      </c>
      <c r="H33">
        <v>122</v>
      </c>
      <c r="I33" t="s">
        <v>24</v>
      </c>
      <c r="J33">
        <v>4.2</v>
      </c>
      <c r="K33">
        <v>1</v>
      </c>
      <c r="L33">
        <v>3</v>
      </c>
      <c r="M33">
        <v>3</v>
      </c>
      <c r="N33" t="s">
        <v>25</v>
      </c>
    </row>
    <row r="34" spans="1:14" hidden="1" x14ac:dyDescent="0.3">
      <c r="A34">
        <v>52</v>
      </c>
      <c r="B34" t="s">
        <v>14</v>
      </c>
      <c r="C34" t="s">
        <v>23</v>
      </c>
      <c r="D34">
        <v>128</v>
      </c>
      <c r="E34">
        <v>255</v>
      </c>
      <c r="F34" t="s">
        <v>20</v>
      </c>
      <c r="G34">
        <v>1</v>
      </c>
      <c r="H34">
        <v>161</v>
      </c>
      <c r="I34" t="s">
        <v>24</v>
      </c>
      <c r="J34">
        <v>0</v>
      </c>
      <c r="K34">
        <v>2</v>
      </c>
      <c r="L34">
        <v>1</v>
      </c>
      <c r="M34">
        <v>3</v>
      </c>
      <c r="N34" t="s">
        <v>25</v>
      </c>
    </row>
    <row r="35" spans="1:14" hidden="1" x14ac:dyDescent="0.3">
      <c r="A35">
        <v>52</v>
      </c>
      <c r="B35" t="s">
        <v>14</v>
      </c>
      <c r="C35" t="s">
        <v>23</v>
      </c>
      <c r="D35">
        <v>112</v>
      </c>
      <c r="E35">
        <v>230</v>
      </c>
      <c r="F35" t="s">
        <v>20</v>
      </c>
      <c r="G35">
        <v>1</v>
      </c>
      <c r="H35">
        <v>160</v>
      </c>
      <c r="I35" t="s">
        <v>17</v>
      </c>
      <c r="J35">
        <v>0</v>
      </c>
      <c r="K35">
        <v>2</v>
      </c>
      <c r="L35">
        <v>1</v>
      </c>
      <c r="M35">
        <v>2</v>
      </c>
      <c r="N35" t="s">
        <v>25</v>
      </c>
    </row>
    <row r="36" spans="1:14" hidden="1" x14ac:dyDescent="0.3">
      <c r="A36">
        <v>52</v>
      </c>
      <c r="B36" t="s">
        <v>14</v>
      </c>
      <c r="C36" t="s">
        <v>23</v>
      </c>
      <c r="D36">
        <v>125</v>
      </c>
      <c r="E36">
        <v>212</v>
      </c>
      <c r="F36" t="s">
        <v>20</v>
      </c>
      <c r="G36">
        <v>1</v>
      </c>
      <c r="H36">
        <v>168</v>
      </c>
      <c r="I36" t="s">
        <v>17</v>
      </c>
      <c r="J36">
        <v>1</v>
      </c>
      <c r="K36">
        <v>2</v>
      </c>
      <c r="L36">
        <v>2</v>
      </c>
      <c r="M36">
        <v>3</v>
      </c>
      <c r="N36" t="s">
        <v>25</v>
      </c>
    </row>
    <row r="37" spans="1:14" x14ac:dyDescent="0.3">
      <c r="A37">
        <v>52</v>
      </c>
      <c r="B37" t="s">
        <v>14</v>
      </c>
      <c r="C37" t="s">
        <v>23</v>
      </c>
      <c r="D37">
        <v>128</v>
      </c>
      <c r="E37">
        <v>204</v>
      </c>
      <c r="F37" t="s">
        <v>16</v>
      </c>
      <c r="G37">
        <v>1</v>
      </c>
      <c r="H37">
        <v>156</v>
      </c>
      <c r="I37" t="s">
        <v>24</v>
      </c>
      <c r="J37">
        <v>1</v>
      </c>
      <c r="K37">
        <v>1</v>
      </c>
      <c r="L37">
        <v>0</v>
      </c>
      <c r="M37">
        <v>0</v>
      </c>
      <c r="N37" t="s">
        <v>25</v>
      </c>
    </row>
    <row r="38" spans="1:14" x14ac:dyDescent="0.3">
      <c r="A38">
        <v>53</v>
      </c>
      <c r="B38" t="s">
        <v>14</v>
      </c>
      <c r="C38" t="s">
        <v>23</v>
      </c>
      <c r="D38">
        <v>140</v>
      </c>
      <c r="E38">
        <v>203</v>
      </c>
      <c r="F38" t="s">
        <v>16</v>
      </c>
      <c r="G38">
        <v>0</v>
      </c>
      <c r="H38">
        <v>155</v>
      </c>
      <c r="I38" t="s">
        <v>24</v>
      </c>
      <c r="J38">
        <v>3.1</v>
      </c>
      <c r="K38">
        <v>0</v>
      </c>
      <c r="L38">
        <v>0</v>
      </c>
      <c r="M38">
        <v>3</v>
      </c>
      <c r="N38" t="s">
        <v>25</v>
      </c>
    </row>
    <row r="39" spans="1:14" hidden="1" x14ac:dyDescent="0.3">
      <c r="A39">
        <v>53</v>
      </c>
      <c r="B39" t="s">
        <v>14</v>
      </c>
      <c r="C39" t="s">
        <v>23</v>
      </c>
      <c r="D39">
        <v>123</v>
      </c>
      <c r="E39">
        <v>282</v>
      </c>
      <c r="F39" t="s">
        <v>20</v>
      </c>
      <c r="G39">
        <v>1</v>
      </c>
      <c r="H39">
        <v>95</v>
      </c>
      <c r="I39" t="s">
        <v>24</v>
      </c>
      <c r="J39">
        <v>2</v>
      </c>
      <c r="K39">
        <v>1</v>
      </c>
      <c r="L39">
        <v>2</v>
      </c>
      <c r="M39">
        <v>3</v>
      </c>
      <c r="N39" t="s">
        <v>25</v>
      </c>
    </row>
    <row r="40" spans="1:14" hidden="1" x14ac:dyDescent="0.3">
      <c r="A40">
        <v>54</v>
      </c>
      <c r="B40" t="s">
        <v>14</v>
      </c>
      <c r="C40" t="s">
        <v>23</v>
      </c>
      <c r="D40">
        <v>124</v>
      </c>
      <c r="E40">
        <v>266</v>
      </c>
      <c r="F40" t="s">
        <v>20</v>
      </c>
      <c r="G40">
        <v>0</v>
      </c>
      <c r="H40">
        <v>109</v>
      </c>
      <c r="I40" t="s">
        <v>24</v>
      </c>
      <c r="J40">
        <v>2.2000000000000002</v>
      </c>
      <c r="K40">
        <v>1</v>
      </c>
      <c r="L40">
        <v>1</v>
      </c>
      <c r="M40">
        <v>3</v>
      </c>
      <c r="N40" t="s">
        <v>25</v>
      </c>
    </row>
    <row r="41" spans="1:14" hidden="1" x14ac:dyDescent="0.3">
      <c r="A41">
        <v>54</v>
      </c>
      <c r="B41" t="s">
        <v>14</v>
      </c>
      <c r="C41" t="s">
        <v>23</v>
      </c>
      <c r="D41">
        <v>120</v>
      </c>
      <c r="E41">
        <v>188</v>
      </c>
      <c r="F41" t="s">
        <v>20</v>
      </c>
      <c r="G41">
        <v>1</v>
      </c>
      <c r="H41">
        <v>113</v>
      </c>
      <c r="I41" t="s">
        <v>17</v>
      </c>
      <c r="J41">
        <v>1.4</v>
      </c>
      <c r="K41">
        <v>1</v>
      </c>
      <c r="L41">
        <v>1</v>
      </c>
      <c r="M41">
        <v>3</v>
      </c>
      <c r="N41" t="s">
        <v>25</v>
      </c>
    </row>
    <row r="42" spans="1:14" hidden="1" x14ac:dyDescent="0.3">
      <c r="A42">
        <v>54</v>
      </c>
      <c r="B42" t="s">
        <v>14</v>
      </c>
      <c r="C42" t="s">
        <v>23</v>
      </c>
      <c r="D42">
        <v>110</v>
      </c>
      <c r="E42">
        <v>239</v>
      </c>
      <c r="F42" t="s">
        <v>20</v>
      </c>
      <c r="G42">
        <v>1</v>
      </c>
      <c r="H42">
        <v>126</v>
      </c>
      <c r="I42" t="s">
        <v>24</v>
      </c>
      <c r="J42">
        <v>2.8</v>
      </c>
      <c r="K42">
        <v>1</v>
      </c>
      <c r="L42">
        <v>1</v>
      </c>
      <c r="M42">
        <v>3</v>
      </c>
      <c r="N42" t="s">
        <v>25</v>
      </c>
    </row>
    <row r="43" spans="1:14" hidden="1" x14ac:dyDescent="0.3">
      <c r="A43">
        <v>54</v>
      </c>
      <c r="B43" t="s">
        <v>14</v>
      </c>
      <c r="C43" t="s">
        <v>22</v>
      </c>
      <c r="D43">
        <v>192</v>
      </c>
      <c r="E43">
        <v>283</v>
      </c>
      <c r="F43" t="s">
        <v>20</v>
      </c>
      <c r="G43">
        <v>0</v>
      </c>
      <c r="H43">
        <v>195</v>
      </c>
      <c r="I43" t="s">
        <v>17</v>
      </c>
      <c r="J43">
        <v>0</v>
      </c>
      <c r="K43">
        <v>2</v>
      </c>
      <c r="L43">
        <v>1</v>
      </c>
      <c r="M43">
        <v>3</v>
      </c>
      <c r="N43" t="s">
        <v>25</v>
      </c>
    </row>
    <row r="44" spans="1:14" hidden="1" x14ac:dyDescent="0.3">
      <c r="A44">
        <v>54</v>
      </c>
      <c r="B44" t="s">
        <v>14</v>
      </c>
      <c r="C44" t="s">
        <v>23</v>
      </c>
      <c r="D44">
        <v>110</v>
      </c>
      <c r="E44">
        <v>206</v>
      </c>
      <c r="F44" t="s">
        <v>20</v>
      </c>
      <c r="G44">
        <v>0</v>
      </c>
      <c r="H44">
        <v>108</v>
      </c>
      <c r="I44" t="s">
        <v>24</v>
      </c>
      <c r="J44">
        <v>0</v>
      </c>
      <c r="K44">
        <v>1</v>
      </c>
      <c r="L44">
        <v>1</v>
      </c>
      <c r="M44">
        <v>2</v>
      </c>
      <c r="N44" t="s">
        <v>25</v>
      </c>
    </row>
    <row r="45" spans="1:14" hidden="1" x14ac:dyDescent="0.3">
      <c r="A45">
        <v>54</v>
      </c>
      <c r="B45" t="s">
        <v>14</v>
      </c>
      <c r="C45" t="s">
        <v>23</v>
      </c>
      <c r="D45">
        <v>122</v>
      </c>
      <c r="E45">
        <v>286</v>
      </c>
      <c r="F45" t="s">
        <v>20</v>
      </c>
      <c r="G45">
        <v>0</v>
      </c>
      <c r="H45">
        <v>116</v>
      </c>
      <c r="I45" t="s">
        <v>24</v>
      </c>
      <c r="J45">
        <v>3.2</v>
      </c>
      <c r="K45">
        <v>1</v>
      </c>
      <c r="L45">
        <v>2</v>
      </c>
      <c r="M45">
        <v>2</v>
      </c>
      <c r="N45" t="s">
        <v>25</v>
      </c>
    </row>
    <row r="46" spans="1:14" hidden="1" x14ac:dyDescent="0.3">
      <c r="A46">
        <v>55</v>
      </c>
      <c r="B46" t="s">
        <v>14</v>
      </c>
      <c r="C46" t="s">
        <v>23</v>
      </c>
      <c r="D46">
        <v>132</v>
      </c>
      <c r="E46">
        <v>353</v>
      </c>
      <c r="F46" t="s">
        <v>20</v>
      </c>
      <c r="G46">
        <v>1</v>
      </c>
      <c r="H46">
        <v>132</v>
      </c>
      <c r="I46" t="s">
        <v>24</v>
      </c>
      <c r="J46">
        <v>1.2</v>
      </c>
      <c r="K46">
        <v>1</v>
      </c>
      <c r="L46">
        <v>1</v>
      </c>
      <c r="M46">
        <v>3</v>
      </c>
      <c r="N46" t="s">
        <v>25</v>
      </c>
    </row>
    <row r="47" spans="1:14" hidden="1" x14ac:dyDescent="0.3">
      <c r="A47">
        <v>55</v>
      </c>
      <c r="B47" t="s">
        <v>14</v>
      </c>
      <c r="C47" t="s">
        <v>23</v>
      </c>
      <c r="D47">
        <v>140</v>
      </c>
      <c r="E47">
        <v>217</v>
      </c>
      <c r="F47" t="s">
        <v>20</v>
      </c>
      <c r="G47">
        <v>1</v>
      </c>
      <c r="H47">
        <v>111</v>
      </c>
      <c r="I47" t="s">
        <v>24</v>
      </c>
      <c r="J47">
        <v>5.6</v>
      </c>
      <c r="K47">
        <v>0</v>
      </c>
      <c r="L47">
        <v>0</v>
      </c>
      <c r="M47">
        <v>3</v>
      </c>
      <c r="N47" t="s">
        <v>25</v>
      </c>
    </row>
    <row r="48" spans="1:14" hidden="1" x14ac:dyDescent="0.3">
      <c r="A48">
        <v>55</v>
      </c>
      <c r="B48" t="s">
        <v>14</v>
      </c>
      <c r="C48" t="s">
        <v>23</v>
      </c>
      <c r="D48">
        <v>160</v>
      </c>
      <c r="E48">
        <v>289</v>
      </c>
      <c r="F48" t="s">
        <v>20</v>
      </c>
      <c r="G48">
        <v>0</v>
      </c>
      <c r="H48">
        <v>145</v>
      </c>
      <c r="I48" t="s">
        <v>24</v>
      </c>
      <c r="J48">
        <v>0.8</v>
      </c>
      <c r="K48">
        <v>1</v>
      </c>
      <c r="L48">
        <v>1</v>
      </c>
      <c r="M48">
        <v>3</v>
      </c>
      <c r="N48" t="s">
        <v>25</v>
      </c>
    </row>
    <row r="49" spans="1:14" hidden="1" x14ac:dyDescent="0.3">
      <c r="A49">
        <v>55</v>
      </c>
      <c r="B49" t="s">
        <v>21</v>
      </c>
      <c r="C49" t="s">
        <v>23</v>
      </c>
      <c r="D49">
        <v>180</v>
      </c>
      <c r="E49">
        <v>327</v>
      </c>
      <c r="F49" t="s">
        <v>20</v>
      </c>
      <c r="G49">
        <v>2</v>
      </c>
      <c r="H49">
        <v>117</v>
      </c>
      <c r="I49" t="s">
        <v>24</v>
      </c>
      <c r="J49">
        <v>3.4</v>
      </c>
      <c r="K49">
        <v>1</v>
      </c>
      <c r="L49">
        <v>0</v>
      </c>
      <c r="M49">
        <v>2</v>
      </c>
      <c r="N49" t="s">
        <v>25</v>
      </c>
    </row>
    <row r="50" spans="1:14" hidden="1" x14ac:dyDescent="0.3">
      <c r="A50">
        <v>55</v>
      </c>
      <c r="B50" t="s">
        <v>21</v>
      </c>
      <c r="C50" t="s">
        <v>23</v>
      </c>
      <c r="D50">
        <v>128</v>
      </c>
      <c r="E50">
        <v>205</v>
      </c>
      <c r="F50" t="s">
        <v>20</v>
      </c>
      <c r="G50">
        <v>2</v>
      </c>
      <c r="H50">
        <v>130</v>
      </c>
      <c r="I50" t="s">
        <v>24</v>
      </c>
      <c r="J50">
        <v>2</v>
      </c>
      <c r="K50">
        <v>1</v>
      </c>
      <c r="L50">
        <v>1</v>
      </c>
      <c r="M50">
        <v>3</v>
      </c>
      <c r="N50" t="s">
        <v>25</v>
      </c>
    </row>
    <row r="51" spans="1:14" hidden="1" x14ac:dyDescent="0.3">
      <c r="A51">
        <v>56</v>
      </c>
      <c r="B51" t="s">
        <v>14</v>
      </c>
      <c r="C51" t="s">
        <v>19</v>
      </c>
      <c r="D51">
        <v>130</v>
      </c>
      <c r="E51">
        <v>256</v>
      </c>
      <c r="F51" t="s">
        <v>16</v>
      </c>
      <c r="G51">
        <v>0</v>
      </c>
      <c r="H51">
        <v>142</v>
      </c>
      <c r="I51" t="s">
        <v>24</v>
      </c>
      <c r="J51">
        <v>0.6</v>
      </c>
      <c r="K51">
        <v>1</v>
      </c>
      <c r="L51">
        <v>1</v>
      </c>
      <c r="M51">
        <v>1</v>
      </c>
      <c r="N51" t="s">
        <v>25</v>
      </c>
    </row>
    <row r="52" spans="1:14" x14ac:dyDescent="0.3">
      <c r="A52">
        <v>56</v>
      </c>
      <c r="B52" t="s">
        <v>14</v>
      </c>
      <c r="C52" t="s">
        <v>23</v>
      </c>
      <c r="D52">
        <v>125</v>
      </c>
      <c r="E52">
        <v>249</v>
      </c>
      <c r="F52" t="s">
        <v>16</v>
      </c>
      <c r="G52">
        <v>0</v>
      </c>
      <c r="H52">
        <v>144</v>
      </c>
      <c r="I52" t="s">
        <v>24</v>
      </c>
      <c r="J52">
        <v>1.2</v>
      </c>
      <c r="K52">
        <v>1</v>
      </c>
      <c r="L52">
        <v>1</v>
      </c>
      <c r="M52">
        <v>2</v>
      </c>
      <c r="N52" t="s">
        <v>25</v>
      </c>
    </row>
    <row r="53" spans="1:14" x14ac:dyDescent="0.3">
      <c r="A53">
        <v>56</v>
      </c>
      <c r="B53" t="s">
        <v>21</v>
      </c>
      <c r="C53" t="s">
        <v>23</v>
      </c>
      <c r="D53">
        <v>200</v>
      </c>
      <c r="E53">
        <v>288</v>
      </c>
      <c r="F53" t="s">
        <v>16</v>
      </c>
      <c r="G53">
        <v>0</v>
      </c>
      <c r="H53">
        <v>133</v>
      </c>
      <c r="I53" t="s">
        <v>24</v>
      </c>
      <c r="J53">
        <v>4</v>
      </c>
      <c r="K53">
        <v>0</v>
      </c>
      <c r="L53">
        <v>2</v>
      </c>
      <c r="M53">
        <v>3</v>
      </c>
      <c r="N53" t="s">
        <v>25</v>
      </c>
    </row>
    <row r="54" spans="1:14" hidden="1" x14ac:dyDescent="0.3">
      <c r="A54">
        <v>56</v>
      </c>
      <c r="B54" t="s">
        <v>14</v>
      </c>
      <c r="C54" t="s">
        <v>23</v>
      </c>
      <c r="D54">
        <v>132</v>
      </c>
      <c r="E54">
        <v>184</v>
      </c>
      <c r="F54" t="s">
        <v>20</v>
      </c>
      <c r="G54">
        <v>0</v>
      </c>
      <c r="H54">
        <v>105</v>
      </c>
      <c r="I54" t="s">
        <v>24</v>
      </c>
      <c r="J54">
        <v>2.1</v>
      </c>
      <c r="K54">
        <v>1</v>
      </c>
      <c r="L54">
        <v>1</v>
      </c>
      <c r="M54">
        <v>1</v>
      </c>
      <c r="N54" t="s">
        <v>25</v>
      </c>
    </row>
    <row r="55" spans="1:14" hidden="1" x14ac:dyDescent="0.3">
      <c r="A55">
        <v>56</v>
      </c>
      <c r="B55" t="s">
        <v>21</v>
      </c>
      <c r="C55" t="s">
        <v>23</v>
      </c>
      <c r="D55">
        <v>134</v>
      </c>
      <c r="E55">
        <v>409</v>
      </c>
      <c r="F55" t="s">
        <v>20</v>
      </c>
      <c r="G55">
        <v>0</v>
      </c>
      <c r="H55">
        <v>150</v>
      </c>
      <c r="I55" t="s">
        <v>24</v>
      </c>
      <c r="J55">
        <v>1.9</v>
      </c>
      <c r="K55">
        <v>1</v>
      </c>
      <c r="L55">
        <v>2</v>
      </c>
      <c r="M55">
        <v>3</v>
      </c>
      <c r="N55" t="s">
        <v>25</v>
      </c>
    </row>
    <row r="56" spans="1:14" x14ac:dyDescent="0.3">
      <c r="A56">
        <v>56</v>
      </c>
      <c r="B56" t="s">
        <v>14</v>
      </c>
      <c r="C56" t="s">
        <v>23</v>
      </c>
      <c r="D56">
        <v>130</v>
      </c>
      <c r="E56">
        <v>283</v>
      </c>
      <c r="F56" t="s">
        <v>16</v>
      </c>
      <c r="G56">
        <v>0</v>
      </c>
      <c r="H56">
        <v>103</v>
      </c>
      <c r="I56" t="s">
        <v>24</v>
      </c>
      <c r="J56">
        <v>1.6</v>
      </c>
      <c r="K56">
        <v>0</v>
      </c>
      <c r="L56">
        <v>0</v>
      </c>
      <c r="M56">
        <v>3</v>
      </c>
      <c r="N56" t="s">
        <v>25</v>
      </c>
    </row>
    <row r="57" spans="1:14" hidden="1" x14ac:dyDescent="0.3">
      <c r="A57">
        <v>57</v>
      </c>
      <c r="B57" t="s">
        <v>14</v>
      </c>
      <c r="C57" t="s">
        <v>23</v>
      </c>
      <c r="D57">
        <v>150</v>
      </c>
      <c r="E57">
        <v>276</v>
      </c>
      <c r="F57" t="s">
        <v>20</v>
      </c>
      <c r="G57">
        <v>0</v>
      </c>
      <c r="H57">
        <v>112</v>
      </c>
      <c r="I57" t="s">
        <v>24</v>
      </c>
      <c r="J57">
        <v>0.6</v>
      </c>
      <c r="K57">
        <v>1</v>
      </c>
      <c r="L57">
        <v>1</v>
      </c>
      <c r="M57">
        <v>1</v>
      </c>
      <c r="N57" t="s">
        <v>25</v>
      </c>
    </row>
    <row r="58" spans="1:14" hidden="1" x14ac:dyDescent="0.3">
      <c r="A58">
        <v>57</v>
      </c>
      <c r="B58" t="s">
        <v>14</v>
      </c>
      <c r="C58" t="s">
        <v>19</v>
      </c>
      <c r="D58">
        <v>128</v>
      </c>
      <c r="E58">
        <v>229</v>
      </c>
      <c r="F58" t="s">
        <v>20</v>
      </c>
      <c r="G58">
        <v>0</v>
      </c>
      <c r="H58">
        <v>150</v>
      </c>
      <c r="I58" t="s">
        <v>17</v>
      </c>
      <c r="J58">
        <v>0.4</v>
      </c>
      <c r="K58">
        <v>1</v>
      </c>
      <c r="L58">
        <v>1</v>
      </c>
      <c r="M58">
        <v>3</v>
      </c>
      <c r="N58" t="s">
        <v>25</v>
      </c>
    </row>
    <row r="59" spans="1:14" x14ac:dyDescent="0.3">
      <c r="A59">
        <v>57</v>
      </c>
      <c r="B59" t="s">
        <v>14</v>
      </c>
      <c r="C59" t="s">
        <v>23</v>
      </c>
      <c r="D59">
        <v>165</v>
      </c>
      <c r="E59">
        <v>289</v>
      </c>
      <c r="F59" t="s">
        <v>16</v>
      </c>
      <c r="G59">
        <v>0</v>
      </c>
      <c r="H59">
        <v>124</v>
      </c>
      <c r="I59" t="s">
        <v>17</v>
      </c>
      <c r="J59">
        <v>1</v>
      </c>
      <c r="K59">
        <v>1</v>
      </c>
      <c r="L59">
        <v>3</v>
      </c>
      <c r="M59">
        <v>3</v>
      </c>
      <c r="N59" t="s">
        <v>25</v>
      </c>
    </row>
    <row r="60" spans="1:14" hidden="1" x14ac:dyDescent="0.3">
      <c r="A60">
        <v>57</v>
      </c>
      <c r="B60" t="s">
        <v>14</v>
      </c>
      <c r="C60" t="s">
        <v>23</v>
      </c>
      <c r="D60">
        <v>152</v>
      </c>
      <c r="E60">
        <v>274</v>
      </c>
      <c r="F60" t="s">
        <v>20</v>
      </c>
      <c r="G60">
        <v>1</v>
      </c>
      <c r="H60">
        <v>88</v>
      </c>
      <c r="I60" t="s">
        <v>24</v>
      </c>
      <c r="J60">
        <v>1.2</v>
      </c>
      <c r="K60">
        <v>1</v>
      </c>
      <c r="L60">
        <v>1</v>
      </c>
      <c r="M60">
        <v>3</v>
      </c>
      <c r="N60" t="s">
        <v>25</v>
      </c>
    </row>
    <row r="61" spans="1:14" hidden="1" x14ac:dyDescent="0.3">
      <c r="A61">
        <v>57</v>
      </c>
      <c r="B61" t="s">
        <v>14</v>
      </c>
      <c r="C61" t="s">
        <v>22</v>
      </c>
      <c r="D61">
        <v>124</v>
      </c>
      <c r="E61">
        <v>261</v>
      </c>
      <c r="F61" t="s">
        <v>20</v>
      </c>
      <c r="G61">
        <v>1</v>
      </c>
      <c r="H61">
        <v>141</v>
      </c>
      <c r="I61" t="s">
        <v>17</v>
      </c>
      <c r="J61">
        <v>0.3</v>
      </c>
      <c r="K61">
        <v>2</v>
      </c>
      <c r="L61">
        <v>0</v>
      </c>
      <c r="M61">
        <v>3</v>
      </c>
      <c r="N61" t="s">
        <v>25</v>
      </c>
    </row>
    <row r="62" spans="1:14" hidden="1" x14ac:dyDescent="0.3">
      <c r="A62">
        <v>57</v>
      </c>
      <c r="B62" t="s">
        <v>14</v>
      </c>
      <c r="C62" t="s">
        <v>22</v>
      </c>
      <c r="D62">
        <v>154</v>
      </c>
      <c r="E62">
        <v>232</v>
      </c>
      <c r="F62" t="s">
        <v>20</v>
      </c>
      <c r="G62">
        <v>0</v>
      </c>
      <c r="H62">
        <v>164</v>
      </c>
      <c r="I62" t="s">
        <v>17</v>
      </c>
      <c r="J62">
        <v>0</v>
      </c>
      <c r="K62">
        <v>2</v>
      </c>
      <c r="L62">
        <v>1</v>
      </c>
      <c r="M62">
        <v>2</v>
      </c>
      <c r="N62" t="s">
        <v>25</v>
      </c>
    </row>
    <row r="63" spans="1:14" hidden="1" x14ac:dyDescent="0.3">
      <c r="A63">
        <v>57</v>
      </c>
      <c r="B63" t="s">
        <v>14</v>
      </c>
      <c r="C63" t="s">
        <v>23</v>
      </c>
      <c r="D63">
        <v>110</v>
      </c>
      <c r="E63">
        <v>335</v>
      </c>
      <c r="F63" t="s">
        <v>20</v>
      </c>
      <c r="G63">
        <v>1</v>
      </c>
      <c r="H63">
        <v>143</v>
      </c>
      <c r="I63" t="s">
        <v>24</v>
      </c>
      <c r="J63">
        <v>3</v>
      </c>
      <c r="K63">
        <v>1</v>
      </c>
      <c r="L63">
        <v>1</v>
      </c>
      <c r="M63">
        <v>3</v>
      </c>
      <c r="N63" t="s">
        <v>25</v>
      </c>
    </row>
    <row r="64" spans="1:14" hidden="1" x14ac:dyDescent="0.3">
      <c r="A64">
        <v>57</v>
      </c>
      <c r="B64" t="s">
        <v>21</v>
      </c>
      <c r="C64" t="s">
        <v>23</v>
      </c>
      <c r="D64">
        <v>140</v>
      </c>
      <c r="E64">
        <v>241</v>
      </c>
      <c r="F64" t="s">
        <v>20</v>
      </c>
      <c r="G64">
        <v>1</v>
      </c>
      <c r="H64">
        <v>123</v>
      </c>
      <c r="I64" t="s">
        <v>24</v>
      </c>
      <c r="J64">
        <v>0.2</v>
      </c>
      <c r="K64">
        <v>1</v>
      </c>
      <c r="L64">
        <v>0</v>
      </c>
      <c r="M64">
        <v>3</v>
      </c>
      <c r="N64" t="s">
        <v>25</v>
      </c>
    </row>
    <row r="65" spans="1:14" hidden="1" x14ac:dyDescent="0.3">
      <c r="A65">
        <v>57</v>
      </c>
      <c r="B65" t="s">
        <v>14</v>
      </c>
      <c r="C65" t="s">
        <v>23</v>
      </c>
      <c r="D65">
        <v>130</v>
      </c>
      <c r="E65">
        <v>131</v>
      </c>
      <c r="F65" t="s">
        <v>20</v>
      </c>
      <c r="G65">
        <v>1</v>
      </c>
      <c r="H65">
        <v>115</v>
      </c>
      <c r="I65" t="s">
        <v>24</v>
      </c>
      <c r="J65">
        <v>1.2</v>
      </c>
      <c r="K65">
        <v>1</v>
      </c>
      <c r="L65">
        <v>1</v>
      </c>
      <c r="M65">
        <v>3</v>
      </c>
      <c r="N65" t="s">
        <v>25</v>
      </c>
    </row>
    <row r="66" spans="1:14" hidden="1" x14ac:dyDescent="0.3">
      <c r="A66">
        <v>57</v>
      </c>
      <c r="B66" t="s">
        <v>21</v>
      </c>
      <c r="C66" t="s">
        <v>22</v>
      </c>
      <c r="D66">
        <v>130</v>
      </c>
      <c r="E66">
        <v>236</v>
      </c>
      <c r="F66" t="s">
        <v>20</v>
      </c>
      <c r="G66">
        <v>0</v>
      </c>
      <c r="H66">
        <v>174</v>
      </c>
      <c r="I66" t="s">
        <v>17</v>
      </c>
      <c r="J66">
        <v>0</v>
      </c>
      <c r="K66">
        <v>1</v>
      </c>
      <c r="L66">
        <v>1</v>
      </c>
      <c r="M66">
        <v>2</v>
      </c>
      <c r="N66" t="s">
        <v>25</v>
      </c>
    </row>
    <row r="67" spans="1:14" hidden="1" x14ac:dyDescent="0.3">
      <c r="A67">
        <v>58</v>
      </c>
      <c r="B67" t="s">
        <v>14</v>
      </c>
      <c r="C67" t="s">
        <v>22</v>
      </c>
      <c r="D67">
        <v>120</v>
      </c>
      <c r="E67">
        <v>284</v>
      </c>
      <c r="F67" t="s">
        <v>20</v>
      </c>
      <c r="G67">
        <v>0</v>
      </c>
      <c r="H67">
        <v>160</v>
      </c>
      <c r="I67" t="s">
        <v>17</v>
      </c>
      <c r="J67">
        <v>1.8</v>
      </c>
      <c r="K67">
        <v>1</v>
      </c>
      <c r="L67">
        <v>0</v>
      </c>
      <c r="M67">
        <v>2</v>
      </c>
      <c r="N67" t="s">
        <v>25</v>
      </c>
    </row>
    <row r="68" spans="1:14" hidden="1" x14ac:dyDescent="0.3">
      <c r="A68">
        <v>58</v>
      </c>
      <c r="B68" t="s">
        <v>14</v>
      </c>
      <c r="C68" t="s">
        <v>19</v>
      </c>
      <c r="D68">
        <v>132</v>
      </c>
      <c r="E68">
        <v>224</v>
      </c>
      <c r="F68" t="s">
        <v>20</v>
      </c>
      <c r="G68">
        <v>0</v>
      </c>
      <c r="H68">
        <v>173</v>
      </c>
      <c r="I68" t="s">
        <v>17</v>
      </c>
      <c r="J68">
        <v>3.2</v>
      </c>
      <c r="K68">
        <v>2</v>
      </c>
      <c r="L68">
        <v>2</v>
      </c>
      <c r="M68">
        <v>3</v>
      </c>
      <c r="N68" t="s">
        <v>25</v>
      </c>
    </row>
    <row r="69" spans="1:14" hidden="1" x14ac:dyDescent="0.3">
      <c r="A69">
        <v>58</v>
      </c>
      <c r="B69" t="s">
        <v>14</v>
      </c>
      <c r="C69" t="s">
        <v>19</v>
      </c>
      <c r="D69">
        <v>112</v>
      </c>
      <c r="E69">
        <v>230</v>
      </c>
      <c r="F69" t="s">
        <v>20</v>
      </c>
      <c r="G69">
        <v>0</v>
      </c>
      <c r="H69">
        <v>165</v>
      </c>
      <c r="I69" t="s">
        <v>17</v>
      </c>
      <c r="J69">
        <v>2.5</v>
      </c>
      <c r="K69">
        <v>1</v>
      </c>
      <c r="L69">
        <v>1</v>
      </c>
      <c r="M69">
        <v>3</v>
      </c>
      <c r="N69" t="s">
        <v>25</v>
      </c>
    </row>
    <row r="70" spans="1:14" hidden="1" x14ac:dyDescent="0.3">
      <c r="A70">
        <v>58</v>
      </c>
      <c r="B70" t="s">
        <v>14</v>
      </c>
      <c r="C70" t="s">
        <v>23</v>
      </c>
      <c r="D70">
        <v>128</v>
      </c>
      <c r="E70">
        <v>216</v>
      </c>
      <c r="F70" t="s">
        <v>20</v>
      </c>
      <c r="G70">
        <v>0</v>
      </c>
      <c r="H70">
        <v>131</v>
      </c>
      <c r="I70" t="s">
        <v>24</v>
      </c>
      <c r="J70">
        <v>2.2000000000000002</v>
      </c>
      <c r="K70">
        <v>1</v>
      </c>
      <c r="L70">
        <v>3</v>
      </c>
      <c r="M70">
        <v>3</v>
      </c>
      <c r="N70" t="s">
        <v>25</v>
      </c>
    </row>
    <row r="71" spans="1:14" hidden="1" x14ac:dyDescent="0.3">
      <c r="A71">
        <v>58</v>
      </c>
      <c r="B71" t="s">
        <v>14</v>
      </c>
      <c r="C71" t="s">
        <v>23</v>
      </c>
      <c r="D71">
        <v>150</v>
      </c>
      <c r="E71">
        <v>270</v>
      </c>
      <c r="F71" t="s">
        <v>20</v>
      </c>
      <c r="G71">
        <v>0</v>
      </c>
      <c r="H71">
        <v>111</v>
      </c>
      <c r="I71" t="s">
        <v>24</v>
      </c>
      <c r="J71">
        <v>0.8</v>
      </c>
      <c r="K71">
        <v>2</v>
      </c>
      <c r="L71">
        <v>0</v>
      </c>
      <c r="M71">
        <v>3</v>
      </c>
      <c r="N71" t="s">
        <v>25</v>
      </c>
    </row>
    <row r="72" spans="1:14" hidden="1" x14ac:dyDescent="0.3">
      <c r="A72">
        <v>58</v>
      </c>
      <c r="B72" t="s">
        <v>14</v>
      </c>
      <c r="C72" t="s">
        <v>23</v>
      </c>
      <c r="D72">
        <v>125</v>
      </c>
      <c r="E72">
        <v>300</v>
      </c>
      <c r="F72" t="s">
        <v>20</v>
      </c>
      <c r="G72">
        <v>0</v>
      </c>
      <c r="H72">
        <v>171</v>
      </c>
      <c r="I72" t="s">
        <v>17</v>
      </c>
      <c r="J72">
        <v>0</v>
      </c>
      <c r="K72">
        <v>2</v>
      </c>
      <c r="L72">
        <v>2</v>
      </c>
      <c r="M72">
        <v>3</v>
      </c>
      <c r="N72" t="s">
        <v>25</v>
      </c>
    </row>
    <row r="73" spans="1:14" hidden="1" x14ac:dyDescent="0.3">
      <c r="A73">
        <v>58</v>
      </c>
      <c r="B73" t="s">
        <v>14</v>
      </c>
      <c r="C73" t="s">
        <v>23</v>
      </c>
      <c r="D73">
        <v>128</v>
      </c>
      <c r="E73">
        <v>259</v>
      </c>
      <c r="F73" t="s">
        <v>20</v>
      </c>
      <c r="G73">
        <v>0</v>
      </c>
      <c r="H73">
        <v>130</v>
      </c>
      <c r="I73" t="s">
        <v>24</v>
      </c>
      <c r="J73">
        <v>3</v>
      </c>
      <c r="K73">
        <v>1</v>
      </c>
      <c r="L73">
        <v>2</v>
      </c>
      <c r="M73">
        <v>3</v>
      </c>
      <c r="N73" t="s">
        <v>25</v>
      </c>
    </row>
    <row r="74" spans="1:14" hidden="1" x14ac:dyDescent="0.3">
      <c r="A74">
        <v>58</v>
      </c>
      <c r="B74" t="s">
        <v>14</v>
      </c>
      <c r="C74" t="s">
        <v>23</v>
      </c>
      <c r="D74">
        <v>100</v>
      </c>
      <c r="E74">
        <v>234</v>
      </c>
      <c r="F74" t="s">
        <v>20</v>
      </c>
      <c r="G74">
        <v>1</v>
      </c>
      <c r="H74">
        <v>156</v>
      </c>
      <c r="I74" t="s">
        <v>17</v>
      </c>
      <c r="J74">
        <v>0.1</v>
      </c>
      <c r="K74">
        <v>2</v>
      </c>
      <c r="L74">
        <v>1</v>
      </c>
      <c r="M74">
        <v>3</v>
      </c>
      <c r="N74" t="s">
        <v>25</v>
      </c>
    </row>
    <row r="75" spans="1:14" hidden="1" x14ac:dyDescent="0.3">
      <c r="A75">
        <v>58</v>
      </c>
      <c r="B75" t="s">
        <v>14</v>
      </c>
      <c r="C75" t="s">
        <v>23</v>
      </c>
      <c r="D75">
        <v>146</v>
      </c>
      <c r="E75">
        <v>218</v>
      </c>
      <c r="F75" t="s">
        <v>20</v>
      </c>
      <c r="G75">
        <v>1</v>
      </c>
      <c r="H75">
        <v>105</v>
      </c>
      <c r="I75" t="s">
        <v>17</v>
      </c>
      <c r="J75">
        <v>2</v>
      </c>
      <c r="K75">
        <v>1</v>
      </c>
      <c r="L75">
        <v>1</v>
      </c>
      <c r="M75">
        <v>3</v>
      </c>
      <c r="N75" t="s">
        <v>25</v>
      </c>
    </row>
    <row r="76" spans="1:14" hidden="1" x14ac:dyDescent="0.3">
      <c r="A76">
        <v>58</v>
      </c>
      <c r="B76" t="s">
        <v>21</v>
      </c>
      <c r="C76" t="s">
        <v>22</v>
      </c>
      <c r="D76">
        <v>136</v>
      </c>
      <c r="E76">
        <v>319</v>
      </c>
      <c r="F76" t="s">
        <v>16</v>
      </c>
      <c r="G76">
        <v>0</v>
      </c>
      <c r="H76">
        <v>152</v>
      </c>
      <c r="I76" t="s">
        <v>17</v>
      </c>
      <c r="J76">
        <v>0</v>
      </c>
      <c r="K76">
        <v>2</v>
      </c>
      <c r="L76">
        <v>2</v>
      </c>
      <c r="M76">
        <v>2</v>
      </c>
      <c r="N76" t="s">
        <v>25</v>
      </c>
    </row>
    <row r="77" spans="1:14" hidden="1" x14ac:dyDescent="0.3">
      <c r="A77">
        <v>58</v>
      </c>
      <c r="B77" t="s">
        <v>14</v>
      </c>
      <c r="C77" t="s">
        <v>23</v>
      </c>
      <c r="D77">
        <v>114</v>
      </c>
      <c r="E77">
        <v>318</v>
      </c>
      <c r="F77" t="s">
        <v>20</v>
      </c>
      <c r="G77">
        <v>2</v>
      </c>
      <c r="H77">
        <v>140</v>
      </c>
      <c r="I77" t="s">
        <v>17</v>
      </c>
      <c r="J77">
        <v>4.4000000000000004</v>
      </c>
      <c r="K77">
        <v>0</v>
      </c>
      <c r="L77">
        <v>3</v>
      </c>
      <c r="M77">
        <v>1</v>
      </c>
      <c r="N77" t="s">
        <v>25</v>
      </c>
    </row>
    <row r="78" spans="1:14" x14ac:dyDescent="0.3">
      <c r="A78">
        <v>58</v>
      </c>
      <c r="B78" t="s">
        <v>21</v>
      </c>
      <c r="C78" t="s">
        <v>23</v>
      </c>
      <c r="D78">
        <v>170</v>
      </c>
      <c r="E78">
        <v>225</v>
      </c>
      <c r="F78" t="s">
        <v>16</v>
      </c>
      <c r="G78">
        <v>0</v>
      </c>
      <c r="H78">
        <v>146</v>
      </c>
      <c r="I78" t="s">
        <v>24</v>
      </c>
      <c r="J78">
        <v>2.8</v>
      </c>
      <c r="K78">
        <v>1</v>
      </c>
      <c r="L78">
        <v>2</v>
      </c>
      <c r="M78">
        <v>1</v>
      </c>
      <c r="N78" t="s">
        <v>25</v>
      </c>
    </row>
    <row r="79" spans="1:14" hidden="1" x14ac:dyDescent="0.3">
      <c r="A79">
        <v>59</v>
      </c>
      <c r="B79" t="s">
        <v>14</v>
      </c>
      <c r="C79" t="s">
        <v>23</v>
      </c>
      <c r="D79">
        <v>170</v>
      </c>
      <c r="E79">
        <v>326</v>
      </c>
      <c r="F79" t="s">
        <v>20</v>
      </c>
      <c r="G79">
        <v>0</v>
      </c>
      <c r="H79">
        <v>140</v>
      </c>
      <c r="I79" t="s">
        <v>24</v>
      </c>
      <c r="J79">
        <v>3.4</v>
      </c>
      <c r="K79">
        <v>0</v>
      </c>
      <c r="L79">
        <v>0</v>
      </c>
      <c r="M79">
        <v>3</v>
      </c>
      <c r="N79" t="s">
        <v>25</v>
      </c>
    </row>
    <row r="80" spans="1:14" hidden="1" x14ac:dyDescent="0.3">
      <c r="A80">
        <v>59</v>
      </c>
      <c r="B80" t="s">
        <v>14</v>
      </c>
      <c r="C80" t="s">
        <v>23</v>
      </c>
      <c r="D80">
        <v>110</v>
      </c>
      <c r="E80">
        <v>239</v>
      </c>
      <c r="F80" t="s">
        <v>20</v>
      </c>
      <c r="G80">
        <v>0</v>
      </c>
      <c r="H80">
        <v>142</v>
      </c>
      <c r="I80" t="s">
        <v>24</v>
      </c>
      <c r="J80">
        <v>1.2</v>
      </c>
      <c r="K80">
        <v>1</v>
      </c>
      <c r="L80">
        <v>1</v>
      </c>
      <c r="M80">
        <v>3</v>
      </c>
      <c r="N80" t="s">
        <v>25</v>
      </c>
    </row>
    <row r="81" spans="1:14" hidden="1" x14ac:dyDescent="0.3">
      <c r="A81">
        <v>59</v>
      </c>
      <c r="B81" t="s">
        <v>14</v>
      </c>
      <c r="C81" t="s">
        <v>23</v>
      </c>
      <c r="D81">
        <v>140</v>
      </c>
      <c r="E81">
        <v>177</v>
      </c>
      <c r="F81" t="s">
        <v>20</v>
      </c>
      <c r="G81">
        <v>1</v>
      </c>
      <c r="H81">
        <v>162</v>
      </c>
      <c r="I81" t="s">
        <v>24</v>
      </c>
      <c r="J81">
        <v>0</v>
      </c>
      <c r="K81">
        <v>2</v>
      </c>
      <c r="L81">
        <v>1</v>
      </c>
      <c r="M81">
        <v>3</v>
      </c>
      <c r="N81" t="s">
        <v>25</v>
      </c>
    </row>
    <row r="82" spans="1:14" hidden="1" x14ac:dyDescent="0.3">
      <c r="A82">
        <v>59</v>
      </c>
      <c r="B82" t="s">
        <v>14</v>
      </c>
      <c r="C82" t="s">
        <v>15</v>
      </c>
      <c r="D82">
        <v>170</v>
      </c>
      <c r="E82">
        <v>288</v>
      </c>
      <c r="F82" t="s">
        <v>20</v>
      </c>
      <c r="G82">
        <v>0</v>
      </c>
      <c r="H82">
        <v>159</v>
      </c>
      <c r="I82" t="s">
        <v>17</v>
      </c>
      <c r="J82">
        <v>0.2</v>
      </c>
      <c r="K82">
        <v>1</v>
      </c>
      <c r="L82">
        <v>0</v>
      </c>
      <c r="M82">
        <v>3</v>
      </c>
      <c r="N82" t="s">
        <v>25</v>
      </c>
    </row>
    <row r="83" spans="1:14" hidden="1" x14ac:dyDescent="0.3">
      <c r="A83">
        <v>59</v>
      </c>
      <c r="B83" t="s">
        <v>21</v>
      </c>
      <c r="C83" t="s">
        <v>23</v>
      </c>
      <c r="D83">
        <v>174</v>
      </c>
      <c r="E83">
        <v>249</v>
      </c>
      <c r="F83" t="s">
        <v>20</v>
      </c>
      <c r="G83">
        <v>1</v>
      </c>
      <c r="H83">
        <v>143</v>
      </c>
      <c r="I83" t="s">
        <v>24</v>
      </c>
      <c r="J83">
        <v>0</v>
      </c>
      <c r="K83">
        <v>1</v>
      </c>
      <c r="L83">
        <v>0</v>
      </c>
      <c r="M83">
        <v>2</v>
      </c>
      <c r="N83" t="s">
        <v>25</v>
      </c>
    </row>
    <row r="84" spans="1:14" hidden="1" x14ac:dyDescent="0.3">
      <c r="A84">
        <v>59</v>
      </c>
      <c r="B84" t="s">
        <v>14</v>
      </c>
      <c r="C84" t="s">
        <v>15</v>
      </c>
      <c r="D84">
        <v>160</v>
      </c>
      <c r="E84">
        <v>273</v>
      </c>
      <c r="F84" t="s">
        <v>20</v>
      </c>
      <c r="G84">
        <v>0</v>
      </c>
      <c r="H84">
        <v>125</v>
      </c>
      <c r="I84" t="s">
        <v>17</v>
      </c>
      <c r="J84">
        <v>0</v>
      </c>
      <c r="K84">
        <v>2</v>
      </c>
      <c r="L84">
        <v>0</v>
      </c>
      <c r="M84">
        <v>2</v>
      </c>
      <c r="N84" t="s">
        <v>25</v>
      </c>
    </row>
    <row r="85" spans="1:14" hidden="1" x14ac:dyDescent="0.3">
      <c r="A85">
        <v>59</v>
      </c>
      <c r="B85" t="s">
        <v>14</v>
      </c>
      <c r="C85" t="s">
        <v>19</v>
      </c>
      <c r="D85">
        <v>126</v>
      </c>
      <c r="E85">
        <v>218</v>
      </c>
      <c r="F85" t="s">
        <v>16</v>
      </c>
      <c r="G85">
        <v>1</v>
      </c>
      <c r="H85">
        <v>134</v>
      </c>
      <c r="I85" t="s">
        <v>17</v>
      </c>
      <c r="J85">
        <v>2.2000000000000002</v>
      </c>
      <c r="K85">
        <v>1</v>
      </c>
      <c r="L85">
        <v>1</v>
      </c>
      <c r="M85">
        <v>1</v>
      </c>
      <c r="N85" t="s">
        <v>25</v>
      </c>
    </row>
    <row r="86" spans="1:14" hidden="1" x14ac:dyDescent="0.3">
      <c r="A86">
        <v>59</v>
      </c>
      <c r="B86" t="s">
        <v>14</v>
      </c>
      <c r="C86" t="s">
        <v>15</v>
      </c>
      <c r="D86">
        <v>134</v>
      </c>
      <c r="E86">
        <v>204</v>
      </c>
      <c r="F86" t="s">
        <v>20</v>
      </c>
      <c r="G86">
        <v>1</v>
      </c>
      <c r="H86">
        <v>162</v>
      </c>
      <c r="I86" t="s">
        <v>17</v>
      </c>
      <c r="J86">
        <v>0.8</v>
      </c>
      <c r="K86">
        <v>2</v>
      </c>
      <c r="L86">
        <v>2</v>
      </c>
      <c r="M86">
        <v>2</v>
      </c>
      <c r="N86" t="s">
        <v>25</v>
      </c>
    </row>
    <row r="87" spans="1:14" x14ac:dyDescent="0.3">
      <c r="A87">
        <v>59</v>
      </c>
      <c r="B87" t="s">
        <v>14</v>
      </c>
      <c r="C87" t="s">
        <v>23</v>
      </c>
      <c r="D87">
        <v>164</v>
      </c>
      <c r="E87">
        <v>176</v>
      </c>
      <c r="F87" t="s">
        <v>16</v>
      </c>
      <c r="G87">
        <v>0</v>
      </c>
      <c r="H87">
        <v>90</v>
      </c>
      <c r="I87" t="s">
        <v>17</v>
      </c>
      <c r="J87">
        <v>1</v>
      </c>
      <c r="K87">
        <v>1</v>
      </c>
      <c r="L87">
        <v>2</v>
      </c>
      <c r="M87">
        <v>1</v>
      </c>
      <c r="N87" t="s">
        <v>25</v>
      </c>
    </row>
    <row r="88" spans="1:14" hidden="1" x14ac:dyDescent="0.3">
      <c r="A88">
        <v>60</v>
      </c>
      <c r="B88" t="s">
        <v>14</v>
      </c>
      <c r="C88" t="s">
        <v>23</v>
      </c>
      <c r="D88">
        <v>130</v>
      </c>
      <c r="E88">
        <v>206</v>
      </c>
      <c r="F88" t="s">
        <v>20</v>
      </c>
      <c r="G88">
        <v>0</v>
      </c>
      <c r="H88">
        <v>132</v>
      </c>
      <c r="I88" t="s">
        <v>24</v>
      </c>
      <c r="J88">
        <v>2.4</v>
      </c>
      <c r="K88">
        <v>1</v>
      </c>
      <c r="L88">
        <v>2</v>
      </c>
      <c r="M88">
        <v>3</v>
      </c>
      <c r="N88" t="s">
        <v>25</v>
      </c>
    </row>
    <row r="89" spans="1:14" x14ac:dyDescent="0.3">
      <c r="A89">
        <v>60</v>
      </c>
      <c r="B89" t="s">
        <v>14</v>
      </c>
      <c r="C89" t="s">
        <v>23</v>
      </c>
      <c r="D89">
        <v>117</v>
      </c>
      <c r="E89">
        <v>230</v>
      </c>
      <c r="F89" t="s">
        <v>16</v>
      </c>
      <c r="G89">
        <v>1</v>
      </c>
      <c r="H89">
        <v>160</v>
      </c>
      <c r="I89" t="s">
        <v>24</v>
      </c>
      <c r="J89">
        <v>1.4</v>
      </c>
      <c r="K89">
        <v>2</v>
      </c>
      <c r="L89">
        <v>2</v>
      </c>
      <c r="M89">
        <v>3</v>
      </c>
      <c r="N89" t="s">
        <v>25</v>
      </c>
    </row>
    <row r="90" spans="1:14" hidden="1" x14ac:dyDescent="0.3">
      <c r="A90">
        <v>60</v>
      </c>
      <c r="B90" t="s">
        <v>14</v>
      </c>
      <c r="C90" t="s">
        <v>23</v>
      </c>
      <c r="D90">
        <v>130</v>
      </c>
      <c r="E90">
        <v>253</v>
      </c>
      <c r="F90" t="s">
        <v>20</v>
      </c>
      <c r="G90">
        <v>1</v>
      </c>
      <c r="H90">
        <v>144</v>
      </c>
      <c r="I90" t="s">
        <v>24</v>
      </c>
      <c r="J90">
        <v>1.4</v>
      </c>
      <c r="K90">
        <v>2</v>
      </c>
      <c r="L90">
        <v>1</v>
      </c>
      <c r="M90">
        <v>3</v>
      </c>
      <c r="N90" t="s">
        <v>25</v>
      </c>
    </row>
    <row r="91" spans="1:14" hidden="1" x14ac:dyDescent="0.3">
      <c r="A91">
        <v>60</v>
      </c>
      <c r="B91" t="s">
        <v>14</v>
      </c>
      <c r="C91" t="s">
        <v>23</v>
      </c>
      <c r="D91">
        <v>145</v>
      </c>
      <c r="E91">
        <v>282</v>
      </c>
      <c r="F91" t="s">
        <v>20</v>
      </c>
      <c r="G91">
        <v>0</v>
      </c>
      <c r="H91">
        <v>142</v>
      </c>
      <c r="I91" t="s">
        <v>24</v>
      </c>
      <c r="J91">
        <v>2.8</v>
      </c>
      <c r="K91">
        <v>1</v>
      </c>
      <c r="L91">
        <v>2</v>
      </c>
      <c r="M91">
        <v>3</v>
      </c>
      <c r="N91" t="s">
        <v>25</v>
      </c>
    </row>
    <row r="92" spans="1:14" hidden="1" x14ac:dyDescent="0.3">
      <c r="A92">
        <v>60</v>
      </c>
      <c r="B92" t="s">
        <v>14</v>
      </c>
      <c r="C92" t="s">
        <v>19</v>
      </c>
      <c r="D92">
        <v>140</v>
      </c>
      <c r="E92">
        <v>185</v>
      </c>
      <c r="F92" t="s">
        <v>20</v>
      </c>
      <c r="G92">
        <v>0</v>
      </c>
      <c r="H92">
        <v>155</v>
      </c>
      <c r="I92" t="s">
        <v>17</v>
      </c>
      <c r="J92">
        <v>3</v>
      </c>
      <c r="K92">
        <v>1</v>
      </c>
      <c r="L92">
        <v>0</v>
      </c>
      <c r="M92">
        <v>2</v>
      </c>
      <c r="N92" t="s">
        <v>25</v>
      </c>
    </row>
    <row r="93" spans="1:14" hidden="1" x14ac:dyDescent="0.3">
      <c r="A93">
        <v>60</v>
      </c>
      <c r="B93" t="s">
        <v>14</v>
      </c>
      <c r="C93" t="s">
        <v>23</v>
      </c>
      <c r="D93">
        <v>125</v>
      </c>
      <c r="E93">
        <v>258</v>
      </c>
      <c r="F93" t="s">
        <v>20</v>
      </c>
      <c r="G93">
        <v>0</v>
      </c>
      <c r="H93">
        <v>141</v>
      </c>
      <c r="I93" t="s">
        <v>24</v>
      </c>
      <c r="J93">
        <v>2.8</v>
      </c>
      <c r="K93">
        <v>1</v>
      </c>
      <c r="L93">
        <v>1</v>
      </c>
      <c r="M93">
        <v>3</v>
      </c>
      <c r="N93" t="s">
        <v>25</v>
      </c>
    </row>
    <row r="94" spans="1:14" hidden="1" x14ac:dyDescent="0.3">
      <c r="A94">
        <v>60</v>
      </c>
      <c r="B94" t="s">
        <v>21</v>
      </c>
      <c r="C94" t="s">
        <v>23</v>
      </c>
      <c r="D94">
        <v>150</v>
      </c>
      <c r="E94">
        <v>258</v>
      </c>
      <c r="F94" t="s">
        <v>20</v>
      </c>
      <c r="G94">
        <v>0</v>
      </c>
      <c r="H94">
        <v>157</v>
      </c>
      <c r="I94" t="s">
        <v>17</v>
      </c>
      <c r="J94">
        <v>2.6</v>
      </c>
      <c r="K94">
        <v>1</v>
      </c>
      <c r="L94">
        <v>2</v>
      </c>
      <c r="M94">
        <v>3</v>
      </c>
      <c r="N94" t="s">
        <v>25</v>
      </c>
    </row>
    <row r="95" spans="1:14" hidden="1" x14ac:dyDescent="0.3">
      <c r="A95">
        <v>60</v>
      </c>
      <c r="B95" t="s">
        <v>14</v>
      </c>
      <c r="C95" t="s">
        <v>23</v>
      </c>
      <c r="D95">
        <v>140</v>
      </c>
      <c r="E95">
        <v>293</v>
      </c>
      <c r="F95" t="s">
        <v>20</v>
      </c>
      <c r="G95">
        <v>0</v>
      </c>
      <c r="H95">
        <v>170</v>
      </c>
      <c r="I95" t="s">
        <v>17</v>
      </c>
      <c r="J95">
        <v>1.2</v>
      </c>
      <c r="K95">
        <v>1</v>
      </c>
      <c r="L95">
        <v>2</v>
      </c>
      <c r="M95">
        <v>3</v>
      </c>
      <c r="N95" t="s">
        <v>25</v>
      </c>
    </row>
    <row r="96" spans="1:14" hidden="1" x14ac:dyDescent="0.3">
      <c r="A96">
        <v>61</v>
      </c>
      <c r="B96" t="s">
        <v>21</v>
      </c>
      <c r="C96" t="s">
        <v>23</v>
      </c>
      <c r="D96">
        <v>130</v>
      </c>
      <c r="E96">
        <v>330</v>
      </c>
      <c r="F96" t="s">
        <v>20</v>
      </c>
      <c r="G96">
        <v>0</v>
      </c>
      <c r="H96">
        <v>169</v>
      </c>
      <c r="I96" t="s">
        <v>17</v>
      </c>
      <c r="J96">
        <v>0</v>
      </c>
      <c r="K96">
        <v>2</v>
      </c>
      <c r="L96">
        <v>0</v>
      </c>
      <c r="M96">
        <v>2</v>
      </c>
      <c r="N96" t="s">
        <v>25</v>
      </c>
    </row>
    <row r="97" spans="1:14" hidden="1" x14ac:dyDescent="0.3">
      <c r="A97">
        <v>61</v>
      </c>
      <c r="B97" t="s">
        <v>14</v>
      </c>
      <c r="C97" t="s">
        <v>23</v>
      </c>
      <c r="D97">
        <v>120</v>
      </c>
      <c r="E97">
        <v>260</v>
      </c>
      <c r="F97" t="s">
        <v>20</v>
      </c>
      <c r="G97">
        <v>1</v>
      </c>
      <c r="H97">
        <v>140</v>
      </c>
      <c r="I97" t="s">
        <v>24</v>
      </c>
      <c r="J97">
        <v>3.6</v>
      </c>
      <c r="K97">
        <v>1</v>
      </c>
      <c r="L97">
        <v>1</v>
      </c>
      <c r="M97">
        <v>3</v>
      </c>
      <c r="N97" t="s">
        <v>25</v>
      </c>
    </row>
    <row r="98" spans="1:14" hidden="1" x14ac:dyDescent="0.3">
      <c r="A98">
        <v>61</v>
      </c>
      <c r="B98" t="s">
        <v>21</v>
      </c>
      <c r="C98" t="s">
        <v>23</v>
      </c>
      <c r="D98">
        <v>145</v>
      </c>
      <c r="E98">
        <v>307</v>
      </c>
      <c r="F98" t="s">
        <v>20</v>
      </c>
      <c r="G98">
        <v>0</v>
      </c>
      <c r="H98">
        <v>146</v>
      </c>
      <c r="I98" t="s">
        <v>24</v>
      </c>
      <c r="J98">
        <v>1</v>
      </c>
      <c r="K98">
        <v>1</v>
      </c>
      <c r="L98">
        <v>0</v>
      </c>
      <c r="M98">
        <v>3</v>
      </c>
      <c r="N98" t="s">
        <v>25</v>
      </c>
    </row>
    <row r="99" spans="1:14" hidden="1" x14ac:dyDescent="0.3">
      <c r="A99">
        <v>61</v>
      </c>
      <c r="B99" t="s">
        <v>14</v>
      </c>
      <c r="C99" t="s">
        <v>15</v>
      </c>
      <c r="D99">
        <v>134</v>
      </c>
      <c r="E99">
        <v>234</v>
      </c>
      <c r="F99" t="s">
        <v>20</v>
      </c>
      <c r="G99">
        <v>1</v>
      </c>
      <c r="H99">
        <v>145</v>
      </c>
      <c r="I99" t="s">
        <v>17</v>
      </c>
      <c r="J99">
        <v>2.6</v>
      </c>
      <c r="K99">
        <v>1</v>
      </c>
      <c r="L99">
        <v>2</v>
      </c>
      <c r="M99">
        <v>2</v>
      </c>
      <c r="N99" t="s">
        <v>25</v>
      </c>
    </row>
    <row r="100" spans="1:14" hidden="1" x14ac:dyDescent="0.3">
      <c r="A100">
        <v>61</v>
      </c>
      <c r="B100" t="s">
        <v>14</v>
      </c>
      <c r="C100" t="s">
        <v>23</v>
      </c>
      <c r="D100">
        <v>138</v>
      </c>
      <c r="E100">
        <v>166</v>
      </c>
      <c r="F100" t="s">
        <v>20</v>
      </c>
      <c r="G100">
        <v>0</v>
      </c>
      <c r="H100">
        <v>125</v>
      </c>
      <c r="I100" t="s">
        <v>24</v>
      </c>
      <c r="J100">
        <v>3.6</v>
      </c>
      <c r="K100">
        <v>1</v>
      </c>
      <c r="L100">
        <v>1</v>
      </c>
      <c r="M100">
        <v>2</v>
      </c>
      <c r="N100" t="s">
        <v>25</v>
      </c>
    </row>
    <row r="101" spans="1:14" hidden="1" x14ac:dyDescent="0.3">
      <c r="A101">
        <v>61</v>
      </c>
      <c r="B101" t="s">
        <v>14</v>
      </c>
      <c r="C101" t="s">
        <v>23</v>
      </c>
      <c r="D101">
        <v>140</v>
      </c>
      <c r="E101">
        <v>207</v>
      </c>
      <c r="F101" t="s">
        <v>20</v>
      </c>
      <c r="G101">
        <v>0</v>
      </c>
      <c r="H101">
        <v>138</v>
      </c>
      <c r="I101" t="s">
        <v>24</v>
      </c>
      <c r="J101">
        <v>1.9</v>
      </c>
      <c r="K101">
        <v>2</v>
      </c>
      <c r="L101">
        <v>1</v>
      </c>
      <c r="M101">
        <v>3</v>
      </c>
      <c r="N101" t="s">
        <v>25</v>
      </c>
    </row>
    <row r="102" spans="1:14" hidden="1" x14ac:dyDescent="0.3">
      <c r="A102">
        <v>61</v>
      </c>
      <c r="B102" t="s">
        <v>14</v>
      </c>
      <c r="C102" t="s">
        <v>23</v>
      </c>
      <c r="D102">
        <v>148</v>
      </c>
      <c r="E102">
        <v>203</v>
      </c>
      <c r="F102" t="s">
        <v>20</v>
      </c>
      <c r="G102">
        <v>1</v>
      </c>
      <c r="H102">
        <v>161</v>
      </c>
      <c r="I102" t="s">
        <v>17</v>
      </c>
      <c r="J102">
        <v>0</v>
      </c>
      <c r="K102">
        <v>2</v>
      </c>
      <c r="L102">
        <v>1</v>
      </c>
      <c r="M102">
        <v>3</v>
      </c>
      <c r="N102" t="s">
        <v>25</v>
      </c>
    </row>
    <row r="103" spans="1:14" hidden="1" x14ac:dyDescent="0.3">
      <c r="A103">
        <v>62</v>
      </c>
      <c r="B103" t="s">
        <v>21</v>
      </c>
      <c r="C103" t="s">
        <v>23</v>
      </c>
      <c r="D103">
        <v>140</v>
      </c>
      <c r="E103">
        <v>268</v>
      </c>
      <c r="F103" t="s">
        <v>20</v>
      </c>
      <c r="G103">
        <v>0</v>
      </c>
      <c r="H103">
        <v>160</v>
      </c>
      <c r="I103" t="s">
        <v>17</v>
      </c>
      <c r="J103">
        <v>3.6</v>
      </c>
      <c r="K103">
        <v>0</v>
      </c>
      <c r="L103">
        <v>2</v>
      </c>
      <c r="M103">
        <v>2</v>
      </c>
      <c r="N103" t="s">
        <v>25</v>
      </c>
    </row>
    <row r="104" spans="1:14" hidden="1" x14ac:dyDescent="0.3">
      <c r="A104">
        <v>62</v>
      </c>
      <c r="B104" t="s">
        <v>14</v>
      </c>
      <c r="C104" t="s">
        <v>23</v>
      </c>
      <c r="D104">
        <v>120</v>
      </c>
      <c r="E104">
        <v>267</v>
      </c>
      <c r="F104" t="s">
        <v>20</v>
      </c>
      <c r="G104">
        <v>1</v>
      </c>
      <c r="H104">
        <v>99</v>
      </c>
      <c r="I104" t="s">
        <v>24</v>
      </c>
      <c r="J104">
        <v>1.8</v>
      </c>
      <c r="K104">
        <v>1</v>
      </c>
      <c r="L104">
        <v>2</v>
      </c>
      <c r="M104">
        <v>3</v>
      </c>
      <c r="N104" t="s">
        <v>25</v>
      </c>
    </row>
    <row r="105" spans="1:14" hidden="1" x14ac:dyDescent="0.3">
      <c r="A105">
        <v>62</v>
      </c>
      <c r="B105" t="s">
        <v>21</v>
      </c>
      <c r="C105" t="s">
        <v>23</v>
      </c>
      <c r="D105">
        <v>160</v>
      </c>
      <c r="E105">
        <v>164</v>
      </c>
      <c r="F105" t="s">
        <v>20</v>
      </c>
      <c r="G105">
        <v>0</v>
      </c>
      <c r="H105">
        <v>145</v>
      </c>
      <c r="I105" t="s">
        <v>17</v>
      </c>
      <c r="J105">
        <v>6.2</v>
      </c>
      <c r="K105">
        <v>0</v>
      </c>
      <c r="L105">
        <v>3</v>
      </c>
      <c r="M105">
        <v>3</v>
      </c>
      <c r="N105" t="s">
        <v>25</v>
      </c>
    </row>
    <row r="106" spans="1:14" hidden="1" x14ac:dyDescent="0.3">
      <c r="A106">
        <v>62</v>
      </c>
      <c r="B106" t="s">
        <v>21</v>
      </c>
      <c r="C106" t="s">
        <v>19</v>
      </c>
      <c r="D106">
        <v>130</v>
      </c>
      <c r="E106">
        <v>263</v>
      </c>
      <c r="F106" t="s">
        <v>20</v>
      </c>
      <c r="G106">
        <v>1</v>
      </c>
      <c r="H106">
        <v>97</v>
      </c>
      <c r="I106" t="s">
        <v>17</v>
      </c>
      <c r="J106">
        <v>1.2</v>
      </c>
      <c r="K106">
        <v>1</v>
      </c>
      <c r="L106">
        <v>1</v>
      </c>
      <c r="M106">
        <v>3</v>
      </c>
      <c r="N106" t="s">
        <v>25</v>
      </c>
    </row>
    <row r="107" spans="1:14" hidden="1" x14ac:dyDescent="0.3">
      <c r="A107">
        <v>62</v>
      </c>
      <c r="B107" t="s">
        <v>14</v>
      </c>
      <c r="C107" t="s">
        <v>22</v>
      </c>
      <c r="D107">
        <v>120</v>
      </c>
      <c r="E107">
        <v>281</v>
      </c>
      <c r="F107" t="s">
        <v>20</v>
      </c>
      <c r="G107">
        <v>0</v>
      </c>
      <c r="H107">
        <v>103</v>
      </c>
      <c r="I107" t="s">
        <v>17</v>
      </c>
      <c r="J107">
        <v>1.4</v>
      </c>
      <c r="K107">
        <v>1</v>
      </c>
      <c r="L107">
        <v>1</v>
      </c>
      <c r="M107">
        <v>3</v>
      </c>
      <c r="N107" t="s">
        <v>25</v>
      </c>
    </row>
    <row r="108" spans="1:14" x14ac:dyDescent="0.3">
      <c r="A108">
        <v>62</v>
      </c>
      <c r="B108" t="s">
        <v>21</v>
      </c>
      <c r="C108" t="s">
        <v>23</v>
      </c>
      <c r="D108">
        <v>138</v>
      </c>
      <c r="E108">
        <v>294</v>
      </c>
      <c r="F108" t="s">
        <v>16</v>
      </c>
      <c r="G108">
        <v>1</v>
      </c>
      <c r="H108">
        <v>106</v>
      </c>
      <c r="I108" t="s">
        <v>17</v>
      </c>
      <c r="J108">
        <v>1.9</v>
      </c>
      <c r="K108">
        <v>1</v>
      </c>
      <c r="L108">
        <v>3</v>
      </c>
      <c r="M108">
        <v>2</v>
      </c>
      <c r="N108" t="s">
        <v>25</v>
      </c>
    </row>
    <row r="109" spans="1:14" hidden="1" x14ac:dyDescent="0.3">
      <c r="A109">
        <v>62</v>
      </c>
      <c r="B109" t="s">
        <v>21</v>
      </c>
      <c r="C109" t="s">
        <v>23</v>
      </c>
      <c r="D109">
        <v>150</v>
      </c>
      <c r="E109">
        <v>244</v>
      </c>
      <c r="F109" t="s">
        <v>20</v>
      </c>
      <c r="G109">
        <v>1</v>
      </c>
      <c r="H109">
        <v>154</v>
      </c>
      <c r="I109" t="s">
        <v>24</v>
      </c>
      <c r="J109">
        <v>1.4</v>
      </c>
      <c r="K109">
        <v>1</v>
      </c>
      <c r="L109">
        <v>0</v>
      </c>
      <c r="M109">
        <v>2</v>
      </c>
      <c r="N109" t="s">
        <v>25</v>
      </c>
    </row>
    <row r="110" spans="1:14" hidden="1" x14ac:dyDescent="0.3">
      <c r="A110">
        <v>63</v>
      </c>
      <c r="B110" t="s">
        <v>14</v>
      </c>
      <c r="C110" t="s">
        <v>23</v>
      </c>
      <c r="D110">
        <v>130</v>
      </c>
      <c r="E110">
        <v>254</v>
      </c>
      <c r="F110" t="s">
        <v>20</v>
      </c>
      <c r="G110">
        <v>0</v>
      </c>
      <c r="H110">
        <v>147</v>
      </c>
      <c r="I110" t="s">
        <v>17</v>
      </c>
      <c r="J110">
        <v>1.4</v>
      </c>
      <c r="K110">
        <v>1</v>
      </c>
      <c r="L110">
        <v>1</v>
      </c>
      <c r="M110">
        <v>3</v>
      </c>
      <c r="N110" t="s">
        <v>25</v>
      </c>
    </row>
    <row r="111" spans="1:14" x14ac:dyDescent="0.3">
      <c r="A111">
        <v>63</v>
      </c>
      <c r="B111" t="s">
        <v>14</v>
      </c>
      <c r="C111" t="s">
        <v>23</v>
      </c>
      <c r="D111">
        <v>130</v>
      </c>
      <c r="E111">
        <v>330</v>
      </c>
      <c r="F111" t="s">
        <v>16</v>
      </c>
      <c r="G111">
        <v>0</v>
      </c>
      <c r="H111">
        <v>132</v>
      </c>
      <c r="I111" t="s">
        <v>24</v>
      </c>
      <c r="J111">
        <v>1.8</v>
      </c>
      <c r="K111">
        <v>2</v>
      </c>
      <c r="L111">
        <v>3</v>
      </c>
      <c r="M111">
        <v>3</v>
      </c>
      <c r="N111" t="s">
        <v>25</v>
      </c>
    </row>
    <row r="112" spans="1:14" hidden="1" x14ac:dyDescent="0.3">
      <c r="A112">
        <v>63</v>
      </c>
      <c r="B112" t="s">
        <v>21</v>
      </c>
      <c r="C112" t="s">
        <v>23</v>
      </c>
      <c r="D112">
        <v>150</v>
      </c>
      <c r="E112">
        <v>407</v>
      </c>
      <c r="F112" t="s">
        <v>20</v>
      </c>
      <c r="G112">
        <v>0</v>
      </c>
      <c r="H112">
        <v>154</v>
      </c>
      <c r="I112" t="s">
        <v>17</v>
      </c>
      <c r="J112">
        <v>4</v>
      </c>
      <c r="K112">
        <v>1</v>
      </c>
      <c r="L112">
        <v>3</v>
      </c>
      <c r="M112">
        <v>3</v>
      </c>
      <c r="N112" t="s">
        <v>25</v>
      </c>
    </row>
    <row r="113" spans="1:14" hidden="1" x14ac:dyDescent="0.3">
      <c r="A113">
        <v>63</v>
      </c>
      <c r="B113" t="s">
        <v>21</v>
      </c>
      <c r="C113" t="s">
        <v>23</v>
      </c>
      <c r="D113">
        <v>108</v>
      </c>
      <c r="E113">
        <v>269</v>
      </c>
      <c r="F113" t="s">
        <v>20</v>
      </c>
      <c r="G113">
        <v>1</v>
      </c>
      <c r="H113">
        <v>169</v>
      </c>
      <c r="I113" t="s">
        <v>24</v>
      </c>
      <c r="J113">
        <v>1.8</v>
      </c>
      <c r="K113">
        <v>1</v>
      </c>
      <c r="L113">
        <v>2</v>
      </c>
      <c r="M113">
        <v>2</v>
      </c>
      <c r="N113" t="s">
        <v>25</v>
      </c>
    </row>
    <row r="114" spans="1:14" hidden="1" x14ac:dyDescent="0.3">
      <c r="A114">
        <v>63</v>
      </c>
      <c r="B114" t="s">
        <v>14</v>
      </c>
      <c r="C114" t="s">
        <v>23</v>
      </c>
      <c r="D114">
        <v>140</v>
      </c>
      <c r="E114">
        <v>187</v>
      </c>
      <c r="F114" t="s">
        <v>20</v>
      </c>
      <c r="G114">
        <v>0</v>
      </c>
      <c r="H114">
        <v>144</v>
      </c>
      <c r="I114" t="s">
        <v>24</v>
      </c>
      <c r="J114">
        <v>4</v>
      </c>
      <c r="K114">
        <v>2</v>
      </c>
      <c r="L114">
        <v>2</v>
      </c>
      <c r="M114">
        <v>3</v>
      </c>
      <c r="N114" t="s">
        <v>25</v>
      </c>
    </row>
    <row r="115" spans="1:14" hidden="1" x14ac:dyDescent="0.3">
      <c r="A115">
        <v>63</v>
      </c>
      <c r="B115" t="s">
        <v>21</v>
      </c>
      <c r="C115" t="s">
        <v>23</v>
      </c>
      <c r="D115">
        <v>124</v>
      </c>
      <c r="E115">
        <v>197</v>
      </c>
      <c r="F115" t="s">
        <v>20</v>
      </c>
      <c r="G115">
        <v>1</v>
      </c>
      <c r="H115">
        <v>136</v>
      </c>
      <c r="I115" t="s">
        <v>24</v>
      </c>
      <c r="J115">
        <v>0</v>
      </c>
      <c r="K115">
        <v>1</v>
      </c>
      <c r="L115">
        <v>0</v>
      </c>
      <c r="M115">
        <v>2</v>
      </c>
      <c r="N115" t="s">
        <v>25</v>
      </c>
    </row>
    <row r="116" spans="1:14" hidden="1" x14ac:dyDescent="0.3">
      <c r="A116">
        <v>64</v>
      </c>
      <c r="B116" t="s">
        <v>14</v>
      </c>
      <c r="C116" t="s">
        <v>19</v>
      </c>
      <c r="D116">
        <v>140</v>
      </c>
      <c r="E116">
        <v>335</v>
      </c>
      <c r="F116" t="s">
        <v>20</v>
      </c>
      <c r="G116">
        <v>1</v>
      </c>
      <c r="H116">
        <v>158</v>
      </c>
      <c r="I116" t="s">
        <v>17</v>
      </c>
      <c r="J116">
        <v>0</v>
      </c>
      <c r="K116">
        <v>2</v>
      </c>
      <c r="L116">
        <v>0</v>
      </c>
      <c r="M116">
        <v>2</v>
      </c>
      <c r="N116" t="s">
        <v>25</v>
      </c>
    </row>
    <row r="117" spans="1:14" hidden="1" x14ac:dyDescent="0.3">
      <c r="A117">
        <v>64</v>
      </c>
      <c r="B117" t="s">
        <v>14</v>
      </c>
      <c r="C117" t="s">
        <v>19</v>
      </c>
      <c r="D117">
        <v>125</v>
      </c>
      <c r="E117">
        <v>309</v>
      </c>
      <c r="F117" t="s">
        <v>20</v>
      </c>
      <c r="G117">
        <v>1</v>
      </c>
      <c r="H117">
        <v>131</v>
      </c>
      <c r="I117" t="s">
        <v>24</v>
      </c>
      <c r="J117">
        <v>1.8</v>
      </c>
      <c r="K117">
        <v>1</v>
      </c>
      <c r="L117">
        <v>0</v>
      </c>
      <c r="M117">
        <v>3</v>
      </c>
      <c r="N117" t="s">
        <v>25</v>
      </c>
    </row>
    <row r="118" spans="1:14" hidden="1" x14ac:dyDescent="0.3">
      <c r="A118">
        <v>64</v>
      </c>
      <c r="B118" t="s">
        <v>14</v>
      </c>
      <c r="C118" t="s">
        <v>23</v>
      </c>
      <c r="D118">
        <v>120</v>
      </c>
      <c r="E118">
        <v>246</v>
      </c>
      <c r="F118" t="s">
        <v>20</v>
      </c>
      <c r="G118">
        <v>0</v>
      </c>
      <c r="H118">
        <v>96</v>
      </c>
      <c r="I118" t="s">
        <v>24</v>
      </c>
      <c r="J118">
        <v>2.2000000000000002</v>
      </c>
      <c r="K118">
        <v>0</v>
      </c>
      <c r="L118">
        <v>1</v>
      </c>
      <c r="M118">
        <v>2</v>
      </c>
      <c r="N118" t="s">
        <v>25</v>
      </c>
    </row>
    <row r="119" spans="1:14" hidden="1" x14ac:dyDescent="0.3">
      <c r="A119">
        <v>64</v>
      </c>
      <c r="B119" t="s">
        <v>14</v>
      </c>
      <c r="C119" t="s">
        <v>23</v>
      </c>
      <c r="D119">
        <v>145</v>
      </c>
      <c r="E119">
        <v>212</v>
      </c>
      <c r="F119" t="s">
        <v>20</v>
      </c>
      <c r="G119">
        <v>0</v>
      </c>
      <c r="H119">
        <v>132</v>
      </c>
      <c r="I119" t="s">
        <v>17</v>
      </c>
      <c r="J119">
        <v>2</v>
      </c>
      <c r="K119">
        <v>1</v>
      </c>
      <c r="L119">
        <v>2</v>
      </c>
      <c r="M119">
        <v>1</v>
      </c>
      <c r="N119" t="s">
        <v>25</v>
      </c>
    </row>
    <row r="120" spans="1:14" hidden="1" x14ac:dyDescent="0.3">
      <c r="A120">
        <v>65</v>
      </c>
      <c r="B120" t="s">
        <v>21</v>
      </c>
      <c r="C120" t="s">
        <v>23</v>
      </c>
      <c r="D120">
        <v>150</v>
      </c>
      <c r="E120">
        <v>225</v>
      </c>
      <c r="F120" t="s">
        <v>20</v>
      </c>
      <c r="G120">
        <v>0</v>
      </c>
      <c r="H120">
        <v>114</v>
      </c>
      <c r="I120" t="s">
        <v>17</v>
      </c>
      <c r="J120">
        <v>1</v>
      </c>
      <c r="K120">
        <v>1</v>
      </c>
      <c r="L120">
        <v>3</v>
      </c>
      <c r="M120">
        <v>3</v>
      </c>
      <c r="N120" t="s">
        <v>25</v>
      </c>
    </row>
    <row r="121" spans="1:14" hidden="1" x14ac:dyDescent="0.3">
      <c r="A121">
        <v>65</v>
      </c>
      <c r="B121" t="s">
        <v>14</v>
      </c>
      <c r="C121" t="s">
        <v>23</v>
      </c>
      <c r="D121">
        <v>110</v>
      </c>
      <c r="E121">
        <v>248</v>
      </c>
      <c r="F121" t="s">
        <v>20</v>
      </c>
      <c r="G121">
        <v>0</v>
      </c>
      <c r="H121">
        <v>158</v>
      </c>
      <c r="I121" t="s">
        <v>17</v>
      </c>
      <c r="J121">
        <v>0.6</v>
      </c>
      <c r="K121">
        <v>2</v>
      </c>
      <c r="L121">
        <v>2</v>
      </c>
      <c r="M121">
        <v>1</v>
      </c>
      <c r="N121" t="s">
        <v>25</v>
      </c>
    </row>
    <row r="122" spans="1:14" hidden="1" x14ac:dyDescent="0.3">
      <c r="A122">
        <v>65</v>
      </c>
      <c r="B122" t="s">
        <v>14</v>
      </c>
      <c r="C122" t="s">
        <v>23</v>
      </c>
      <c r="D122">
        <v>135</v>
      </c>
      <c r="E122">
        <v>254</v>
      </c>
      <c r="F122" t="s">
        <v>20</v>
      </c>
      <c r="G122">
        <v>0</v>
      </c>
      <c r="H122">
        <v>127</v>
      </c>
      <c r="I122" t="s">
        <v>17</v>
      </c>
      <c r="J122">
        <v>2.8</v>
      </c>
      <c r="K122">
        <v>1</v>
      </c>
      <c r="L122">
        <v>1</v>
      </c>
      <c r="M122">
        <v>3</v>
      </c>
      <c r="N122" t="s">
        <v>25</v>
      </c>
    </row>
    <row r="123" spans="1:14" hidden="1" x14ac:dyDescent="0.3">
      <c r="A123">
        <v>65</v>
      </c>
      <c r="B123" t="s">
        <v>14</v>
      </c>
      <c r="C123" t="s">
        <v>15</v>
      </c>
      <c r="D123">
        <v>138</v>
      </c>
      <c r="E123">
        <v>282</v>
      </c>
      <c r="F123" t="s">
        <v>16</v>
      </c>
      <c r="G123">
        <v>0</v>
      </c>
      <c r="H123">
        <v>174</v>
      </c>
      <c r="I123" t="s">
        <v>17</v>
      </c>
      <c r="J123">
        <v>1.4</v>
      </c>
      <c r="K123">
        <v>1</v>
      </c>
      <c r="L123">
        <v>1</v>
      </c>
      <c r="M123">
        <v>2</v>
      </c>
      <c r="N123" t="s">
        <v>25</v>
      </c>
    </row>
    <row r="124" spans="1:14" hidden="1" x14ac:dyDescent="0.3">
      <c r="A124">
        <v>66</v>
      </c>
      <c r="B124" t="s">
        <v>14</v>
      </c>
      <c r="C124" t="s">
        <v>22</v>
      </c>
      <c r="D124">
        <v>160</v>
      </c>
      <c r="E124">
        <v>246</v>
      </c>
      <c r="F124" t="s">
        <v>20</v>
      </c>
      <c r="G124">
        <v>1</v>
      </c>
      <c r="H124">
        <v>120</v>
      </c>
      <c r="I124" t="s">
        <v>24</v>
      </c>
      <c r="J124">
        <v>0</v>
      </c>
      <c r="K124">
        <v>1</v>
      </c>
      <c r="L124">
        <v>3</v>
      </c>
      <c r="M124">
        <v>1</v>
      </c>
      <c r="N124" t="s">
        <v>25</v>
      </c>
    </row>
    <row r="125" spans="1:14" x14ac:dyDescent="0.3">
      <c r="A125">
        <v>66</v>
      </c>
      <c r="B125" t="s">
        <v>21</v>
      </c>
      <c r="C125" t="s">
        <v>23</v>
      </c>
      <c r="D125">
        <v>178</v>
      </c>
      <c r="E125">
        <v>228</v>
      </c>
      <c r="F125" t="s">
        <v>16</v>
      </c>
      <c r="G125">
        <v>1</v>
      </c>
      <c r="H125">
        <v>165</v>
      </c>
      <c r="I125" t="s">
        <v>24</v>
      </c>
      <c r="J125">
        <v>1</v>
      </c>
      <c r="K125">
        <v>1</v>
      </c>
      <c r="L125">
        <v>2</v>
      </c>
      <c r="M125">
        <v>3</v>
      </c>
      <c r="N125" t="s">
        <v>25</v>
      </c>
    </row>
    <row r="126" spans="1:14" hidden="1" x14ac:dyDescent="0.3">
      <c r="A126">
        <v>66</v>
      </c>
      <c r="B126" t="s">
        <v>14</v>
      </c>
      <c r="C126" t="s">
        <v>23</v>
      </c>
      <c r="D126">
        <v>112</v>
      </c>
      <c r="E126">
        <v>212</v>
      </c>
      <c r="F126" t="s">
        <v>20</v>
      </c>
      <c r="G126">
        <v>0</v>
      </c>
      <c r="H126">
        <v>132</v>
      </c>
      <c r="I126" t="s">
        <v>24</v>
      </c>
      <c r="J126">
        <v>0.1</v>
      </c>
      <c r="K126">
        <v>2</v>
      </c>
      <c r="L126">
        <v>1</v>
      </c>
      <c r="M126">
        <v>2</v>
      </c>
      <c r="N126" t="s">
        <v>25</v>
      </c>
    </row>
    <row r="127" spans="1:14" hidden="1" x14ac:dyDescent="0.3">
      <c r="A127">
        <v>67</v>
      </c>
      <c r="B127" t="s">
        <v>14</v>
      </c>
      <c r="C127" t="s">
        <v>23</v>
      </c>
      <c r="D127">
        <v>160</v>
      </c>
      <c r="E127">
        <v>286</v>
      </c>
      <c r="F127" t="s">
        <v>20</v>
      </c>
      <c r="G127">
        <v>0</v>
      </c>
      <c r="H127">
        <v>108</v>
      </c>
      <c r="I127" t="s">
        <v>24</v>
      </c>
      <c r="J127">
        <v>1.5</v>
      </c>
      <c r="K127">
        <v>1</v>
      </c>
      <c r="L127">
        <v>3</v>
      </c>
      <c r="M127">
        <v>2</v>
      </c>
      <c r="N127" t="s">
        <v>25</v>
      </c>
    </row>
    <row r="128" spans="1:14" hidden="1" x14ac:dyDescent="0.3">
      <c r="A128">
        <v>67</v>
      </c>
      <c r="B128" t="s">
        <v>14</v>
      </c>
      <c r="C128" t="s">
        <v>23</v>
      </c>
      <c r="D128">
        <v>120</v>
      </c>
      <c r="E128">
        <v>229</v>
      </c>
      <c r="F128" t="s">
        <v>20</v>
      </c>
      <c r="G128">
        <v>0</v>
      </c>
      <c r="H128">
        <v>129</v>
      </c>
      <c r="I128" t="s">
        <v>24</v>
      </c>
      <c r="J128">
        <v>2.6</v>
      </c>
      <c r="K128">
        <v>1</v>
      </c>
      <c r="L128">
        <v>2</v>
      </c>
      <c r="M128">
        <v>3</v>
      </c>
      <c r="N128" t="s">
        <v>25</v>
      </c>
    </row>
    <row r="129" spans="1:14" x14ac:dyDescent="0.3">
      <c r="A129">
        <v>67</v>
      </c>
      <c r="B129" t="s">
        <v>14</v>
      </c>
      <c r="C129" t="s">
        <v>23</v>
      </c>
      <c r="D129">
        <v>125</v>
      </c>
      <c r="E129">
        <v>254</v>
      </c>
      <c r="F129" t="s">
        <v>16</v>
      </c>
      <c r="G129">
        <v>1</v>
      </c>
      <c r="H129">
        <v>163</v>
      </c>
      <c r="I129" t="s">
        <v>17</v>
      </c>
      <c r="J129">
        <v>0.2</v>
      </c>
      <c r="K129">
        <v>1</v>
      </c>
      <c r="L129">
        <v>2</v>
      </c>
      <c r="M129">
        <v>3</v>
      </c>
      <c r="N129" t="s">
        <v>25</v>
      </c>
    </row>
    <row r="130" spans="1:14" hidden="1" x14ac:dyDescent="0.3">
      <c r="A130">
        <v>67</v>
      </c>
      <c r="B130" t="s">
        <v>14</v>
      </c>
      <c r="C130" t="s">
        <v>23</v>
      </c>
      <c r="D130">
        <v>100</v>
      </c>
      <c r="E130">
        <v>299</v>
      </c>
      <c r="F130" t="s">
        <v>20</v>
      </c>
      <c r="G130">
        <v>0</v>
      </c>
      <c r="H130">
        <v>125</v>
      </c>
      <c r="I130" t="s">
        <v>24</v>
      </c>
      <c r="J130">
        <v>0.9</v>
      </c>
      <c r="K130">
        <v>1</v>
      </c>
      <c r="L130">
        <v>2</v>
      </c>
      <c r="M130">
        <v>2</v>
      </c>
      <c r="N130" t="s">
        <v>25</v>
      </c>
    </row>
    <row r="131" spans="1:14" hidden="1" x14ac:dyDescent="0.3">
      <c r="A131">
        <v>67</v>
      </c>
      <c r="B131" t="s">
        <v>14</v>
      </c>
      <c r="C131" t="s">
        <v>23</v>
      </c>
      <c r="D131">
        <v>120</v>
      </c>
      <c r="E131">
        <v>237</v>
      </c>
      <c r="F131" t="s">
        <v>20</v>
      </c>
      <c r="G131">
        <v>1</v>
      </c>
      <c r="H131">
        <v>71</v>
      </c>
      <c r="I131" t="s">
        <v>17</v>
      </c>
      <c r="J131">
        <v>1</v>
      </c>
      <c r="K131">
        <v>1</v>
      </c>
      <c r="L131">
        <v>0</v>
      </c>
      <c r="M131">
        <v>2</v>
      </c>
      <c r="N131" t="s">
        <v>25</v>
      </c>
    </row>
    <row r="132" spans="1:14" hidden="1" x14ac:dyDescent="0.3">
      <c r="A132">
        <v>67</v>
      </c>
      <c r="B132" t="s">
        <v>14</v>
      </c>
      <c r="C132" t="s">
        <v>19</v>
      </c>
      <c r="D132">
        <v>152</v>
      </c>
      <c r="E132">
        <v>212</v>
      </c>
      <c r="F132" t="s">
        <v>20</v>
      </c>
      <c r="G132">
        <v>0</v>
      </c>
      <c r="H132">
        <v>150</v>
      </c>
      <c r="I132" t="s">
        <v>17</v>
      </c>
      <c r="J132">
        <v>0.8</v>
      </c>
      <c r="K132">
        <v>1</v>
      </c>
      <c r="L132">
        <v>0</v>
      </c>
      <c r="M132">
        <v>3</v>
      </c>
      <c r="N132" t="s">
        <v>25</v>
      </c>
    </row>
    <row r="133" spans="1:14" hidden="1" x14ac:dyDescent="0.3">
      <c r="A133">
        <v>68</v>
      </c>
      <c r="B133" t="s">
        <v>14</v>
      </c>
      <c r="C133" t="s">
        <v>19</v>
      </c>
      <c r="D133">
        <v>180</v>
      </c>
      <c r="E133">
        <v>274</v>
      </c>
      <c r="F133" t="s">
        <v>16</v>
      </c>
      <c r="G133">
        <v>0</v>
      </c>
      <c r="H133">
        <v>150</v>
      </c>
      <c r="I133" t="s">
        <v>24</v>
      </c>
      <c r="J133">
        <v>1.6</v>
      </c>
      <c r="K133">
        <v>1</v>
      </c>
      <c r="L133">
        <v>0</v>
      </c>
      <c r="M133">
        <v>3</v>
      </c>
      <c r="N133" t="s">
        <v>25</v>
      </c>
    </row>
    <row r="134" spans="1:14" x14ac:dyDescent="0.3">
      <c r="A134">
        <v>68</v>
      </c>
      <c r="B134" t="s">
        <v>14</v>
      </c>
      <c r="C134" t="s">
        <v>23</v>
      </c>
      <c r="D134">
        <v>144</v>
      </c>
      <c r="E134">
        <v>193</v>
      </c>
      <c r="F134" t="s">
        <v>16</v>
      </c>
      <c r="G134">
        <v>1</v>
      </c>
      <c r="H134">
        <v>141</v>
      </c>
      <c r="I134" t="s">
        <v>17</v>
      </c>
      <c r="J134">
        <v>3.4</v>
      </c>
      <c r="K134">
        <v>1</v>
      </c>
      <c r="L134">
        <v>2</v>
      </c>
      <c r="M134">
        <v>3</v>
      </c>
      <c r="N134" t="s">
        <v>25</v>
      </c>
    </row>
    <row r="135" spans="1:14" hidden="1" x14ac:dyDescent="0.3">
      <c r="A135">
        <v>69</v>
      </c>
      <c r="B135" t="s">
        <v>14</v>
      </c>
      <c r="C135" t="s">
        <v>19</v>
      </c>
      <c r="D135">
        <v>140</v>
      </c>
      <c r="E135">
        <v>254</v>
      </c>
      <c r="F135" t="s">
        <v>20</v>
      </c>
      <c r="G135">
        <v>0</v>
      </c>
      <c r="H135">
        <v>146</v>
      </c>
      <c r="I135" t="s">
        <v>17</v>
      </c>
      <c r="J135">
        <v>2</v>
      </c>
      <c r="K135">
        <v>1</v>
      </c>
      <c r="L135">
        <v>3</v>
      </c>
      <c r="M135">
        <v>3</v>
      </c>
      <c r="N135" t="s">
        <v>25</v>
      </c>
    </row>
    <row r="136" spans="1:14" hidden="1" x14ac:dyDescent="0.3">
      <c r="A136">
        <v>70</v>
      </c>
      <c r="B136" t="s">
        <v>14</v>
      </c>
      <c r="C136" t="s">
        <v>23</v>
      </c>
      <c r="D136">
        <v>145</v>
      </c>
      <c r="E136">
        <v>174</v>
      </c>
      <c r="F136" t="s">
        <v>20</v>
      </c>
      <c r="G136">
        <v>1</v>
      </c>
      <c r="H136">
        <v>125</v>
      </c>
      <c r="I136" t="s">
        <v>24</v>
      </c>
      <c r="J136">
        <v>2.6</v>
      </c>
      <c r="K136">
        <v>0</v>
      </c>
      <c r="L136">
        <v>0</v>
      </c>
      <c r="M136">
        <v>3</v>
      </c>
      <c r="N136" t="s">
        <v>25</v>
      </c>
    </row>
    <row r="137" spans="1:14" hidden="1" x14ac:dyDescent="0.3">
      <c r="A137">
        <v>70</v>
      </c>
      <c r="B137" t="s">
        <v>14</v>
      </c>
      <c r="C137" t="s">
        <v>23</v>
      </c>
      <c r="D137">
        <v>130</v>
      </c>
      <c r="E137">
        <v>322</v>
      </c>
      <c r="F137" t="s">
        <v>20</v>
      </c>
      <c r="G137">
        <v>0</v>
      </c>
      <c r="H137">
        <v>109</v>
      </c>
      <c r="I137" t="s">
        <v>17</v>
      </c>
      <c r="J137">
        <v>2.4</v>
      </c>
      <c r="K137">
        <v>1</v>
      </c>
      <c r="L137">
        <v>3</v>
      </c>
      <c r="M137">
        <v>2</v>
      </c>
      <c r="N137" t="s">
        <v>25</v>
      </c>
    </row>
    <row r="138" spans="1:14" hidden="1" x14ac:dyDescent="0.3">
      <c r="A138">
        <v>70</v>
      </c>
      <c r="B138" t="s">
        <v>14</v>
      </c>
      <c r="C138" t="s">
        <v>19</v>
      </c>
      <c r="D138">
        <v>160</v>
      </c>
      <c r="E138">
        <v>269</v>
      </c>
      <c r="F138" t="s">
        <v>20</v>
      </c>
      <c r="G138">
        <v>1</v>
      </c>
      <c r="H138">
        <v>112</v>
      </c>
      <c r="I138" t="s">
        <v>24</v>
      </c>
      <c r="J138">
        <v>2.9</v>
      </c>
      <c r="K138">
        <v>1</v>
      </c>
      <c r="L138">
        <v>1</v>
      </c>
      <c r="M138">
        <v>3</v>
      </c>
      <c r="N138" t="s">
        <v>25</v>
      </c>
    </row>
    <row r="139" spans="1:14" hidden="1" x14ac:dyDescent="0.3">
      <c r="A139">
        <v>77</v>
      </c>
      <c r="B139" t="s">
        <v>14</v>
      </c>
      <c r="C139" t="s">
        <v>23</v>
      </c>
      <c r="D139">
        <v>125</v>
      </c>
      <c r="E139">
        <v>304</v>
      </c>
      <c r="F139" t="s">
        <v>20</v>
      </c>
      <c r="G139">
        <v>0</v>
      </c>
      <c r="H139">
        <v>162</v>
      </c>
      <c r="I139" t="s">
        <v>24</v>
      </c>
      <c r="J139">
        <v>0</v>
      </c>
      <c r="K139">
        <v>2</v>
      </c>
      <c r="L139">
        <v>3</v>
      </c>
      <c r="M139">
        <v>2</v>
      </c>
      <c r="N139" t="s">
        <v>25</v>
      </c>
    </row>
  </sheetData>
  <autoFilter ref="A1:N139" xr:uid="{61D63479-7E7B-4A23-99C8-8E612355C29F}">
    <filterColumn colId="2">
      <filters>
        <filter val="Angina tipica"/>
      </filters>
    </filterColumn>
    <filterColumn colId="5">
      <filters>
        <filter val="&gt;120 mg/dl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9ACC-08A5-4E8F-9C06-B0C85DA68CD0}">
  <dimension ref="A1:O91"/>
  <sheetViews>
    <sheetView topLeftCell="A25" workbookViewId="0">
      <pane ySplit="1" topLeftCell="A29" activePane="bottomLeft" state="frozen"/>
      <selection activeCell="A25" sqref="A25"/>
      <selection pane="bottomLeft" activeCell="A26" sqref="A26:N66"/>
    </sheetView>
  </sheetViews>
  <sheetFormatPr defaultRowHeight="14.4" x14ac:dyDescent="0.3"/>
  <cols>
    <col min="1" max="1" width="12" bestFit="1" customWidth="1"/>
    <col min="2" max="2" width="15.88671875" bestFit="1" customWidth="1"/>
    <col min="3" max="3" width="12.33203125" bestFit="1" customWidth="1"/>
    <col min="4" max="4" width="15.6640625" bestFit="1" customWidth="1"/>
    <col min="5" max="5" width="10.21875" bestFit="1" customWidth="1"/>
    <col min="7" max="7" width="10.109375" bestFit="1" customWidth="1"/>
    <col min="8" max="8" width="17.21875" bestFit="1" customWidth="1"/>
    <col min="9" max="9" width="12.77734375" bestFit="1" customWidth="1"/>
    <col min="10" max="10" width="13.6640625" bestFit="1" customWidth="1"/>
    <col min="11" max="11" width="11.6640625" bestFit="1" customWidth="1"/>
    <col min="12" max="12" width="12.88671875" bestFit="1" customWidth="1"/>
    <col min="14" max="14" width="8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41</v>
      </c>
      <c r="B2" t="s">
        <v>21</v>
      </c>
      <c r="C2" t="s">
        <v>22</v>
      </c>
      <c r="D2">
        <v>130</v>
      </c>
      <c r="E2">
        <v>204</v>
      </c>
      <c r="F2" t="s">
        <v>20</v>
      </c>
      <c r="G2">
        <v>0</v>
      </c>
      <c r="H2">
        <v>172</v>
      </c>
      <c r="I2" t="s">
        <v>17</v>
      </c>
      <c r="J2">
        <v>1.4</v>
      </c>
      <c r="K2">
        <v>2</v>
      </c>
      <c r="L2">
        <v>0</v>
      </c>
      <c r="M2">
        <v>2</v>
      </c>
      <c r="N2" t="s">
        <v>18</v>
      </c>
    </row>
    <row r="3" spans="1:14" x14ac:dyDescent="0.3">
      <c r="A3">
        <v>56</v>
      </c>
      <c r="B3" t="s">
        <v>14</v>
      </c>
      <c r="C3" t="s">
        <v>22</v>
      </c>
      <c r="D3">
        <v>120</v>
      </c>
      <c r="E3">
        <v>236</v>
      </c>
      <c r="F3" t="s">
        <v>20</v>
      </c>
      <c r="G3">
        <v>1</v>
      </c>
      <c r="H3">
        <v>178</v>
      </c>
      <c r="I3" t="s">
        <v>17</v>
      </c>
      <c r="J3">
        <v>0.8</v>
      </c>
      <c r="K3">
        <v>2</v>
      </c>
      <c r="L3">
        <v>0</v>
      </c>
      <c r="M3">
        <v>2</v>
      </c>
      <c r="N3" t="s">
        <v>18</v>
      </c>
    </row>
    <row r="4" spans="1:14" x14ac:dyDescent="0.3">
      <c r="A4">
        <v>56</v>
      </c>
      <c r="B4" t="s">
        <v>21</v>
      </c>
      <c r="C4" t="s">
        <v>22</v>
      </c>
      <c r="D4">
        <v>140</v>
      </c>
      <c r="E4">
        <v>294</v>
      </c>
      <c r="F4" t="s">
        <v>20</v>
      </c>
      <c r="G4">
        <v>0</v>
      </c>
      <c r="H4">
        <v>153</v>
      </c>
      <c r="I4" t="s">
        <v>17</v>
      </c>
      <c r="J4">
        <v>1.3</v>
      </c>
      <c r="K4">
        <v>1</v>
      </c>
      <c r="L4">
        <v>0</v>
      </c>
      <c r="M4">
        <v>2</v>
      </c>
      <c r="N4" t="s">
        <v>18</v>
      </c>
    </row>
    <row r="5" spans="1:14" x14ac:dyDescent="0.3">
      <c r="A5">
        <v>44</v>
      </c>
      <c r="B5" t="s">
        <v>14</v>
      </c>
      <c r="C5" t="s">
        <v>22</v>
      </c>
      <c r="D5">
        <v>120</v>
      </c>
      <c r="E5">
        <v>263</v>
      </c>
      <c r="F5" t="s">
        <v>20</v>
      </c>
      <c r="G5">
        <v>1</v>
      </c>
      <c r="H5">
        <v>173</v>
      </c>
      <c r="I5" t="s">
        <v>17</v>
      </c>
      <c r="J5">
        <v>0</v>
      </c>
      <c r="K5">
        <v>2</v>
      </c>
      <c r="L5">
        <v>0</v>
      </c>
      <c r="M5">
        <v>3</v>
      </c>
      <c r="N5" t="s">
        <v>18</v>
      </c>
    </row>
    <row r="6" spans="1:14" x14ac:dyDescent="0.3">
      <c r="A6">
        <v>49</v>
      </c>
      <c r="B6" t="s">
        <v>14</v>
      </c>
      <c r="C6" t="s">
        <v>22</v>
      </c>
      <c r="D6">
        <v>130</v>
      </c>
      <c r="E6">
        <v>266</v>
      </c>
      <c r="F6" t="s">
        <v>20</v>
      </c>
      <c r="G6">
        <v>1</v>
      </c>
      <c r="H6">
        <v>171</v>
      </c>
      <c r="I6" t="s">
        <v>17</v>
      </c>
      <c r="J6">
        <v>0.6</v>
      </c>
      <c r="K6">
        <v>2</v>
      </c>
      <c r="L6">
        <v>0</v>
      </c>
      <c r="M6">
        <v>2</v>
      </c>
      <c r="N6" t="s">
        <v>18</v>
      </c>
    </row>
    <row r="7" spans="1:14" x14ac:dyDescent="0.3">
      <c r="A7">
        <v>71</v>
      </c>
      <c r="B7" t="s">
        <v>21</v>
      </c>
      <c r="C7" t="s">
        <v>22</v>
      </c>
      <c r="D7">
        <v>160</v>
      </c>
      <c r="E7">
        <v>302</v>
      </c>
      <c r="F7" t="s">
        <v>20</v>
      </c>
      <c r="G7">
        <v>1</v>
      </c>
      <c r="H7">
        <v>162</v>
      </c>
      <c r="I7" t="s">
        <v>17</v>
      </c>
      <c r="J7">
        <v>0.4</v>
      </c>
      <c r="K7">
        <v>2</v>
      </c>
      <c r="L7">
        <v>2</v>
      </c>
      <c r="M7">
        <v>2</v>
      </c>
      <c r="N7" t="s">
        <v>18</v>
      </c>
    </row>
    <row r="8" spans="1:14" x14ac:dyDescent="0.3">
      <c r="A8">
        <v>41</v>
      </c>
      <c r="B8" t="s">
        <v>21</v>
      </c>
      <c r="C8" t="s">
        <v>22</v>
      </c>
      <c r="D8">
        <v>105</v>
      </c>
      <c r="E8">
        <v>198</v>
      </c>
      <c r="F8" t="s">
        <v>20</v>
      </c>
      <c r="G8">
        <v>1</v>
      </c>
      <c r="H8">
        <v>168</v>
      </c>
      <c r="I8" t="s">
        <v>17</v>
      </c>
      <c r="J8">
        <v>0</v>
      </c>
      <c r="K8">
        <v>2</v>
      </c>
      <c r="L8">
        <v>1</v>
      </c>
      <c r="M8">
        <v>2</v>
      </c>
      <c r="N8" t="s">
        <v>18</v>
      </c>
    </row>
    <row r="9" spans="1:14" x14ac:dyDescent="0.3">
      <c r="A9">
        <v>44</v>
      </c>
      <c r="B9" t="s">
        <v>14</v>
      </c>
      <c r="C9" t="s">
        <v>22</v>
      </c>
      <c r="D9">
        <v>130</v>
      </c>
      <c r="E9">
        <v>219</v>
      </c>
      <c r="F9" t="s">
        <v>20</v>
      </c>
      <c r="G9">
        <v>0</v>
      </c>
      <c r="H9">
        <v>188</v>
      </c>
      <c r="I9" t="s">
        <v>17</v>
      </c>
      <c r="J9">
        <v>0</v>
      </c>
      <c r="K9">
        <v>2</v>
      </c>
      <c r="L9">
        <v>0</v>
      </c>
      <c r="M9">
        <v>2</v>
      </c>
      <c r="N9" t="s">
        <v>18</v>
      </c>
    </row>
    <row r="10" spans="1:14" x14ac:dyDescent="0.3">
      <c r="A10">
        <v>48</v>
      </c>
      <c r="B10" t="s">
        <v>14</v>
      </c>
      <c r="C10" t="s">
        <v>22</v>
      </c>
      <c r="D10">
        <v>130</v>
      </c>
      <c r="E10">
        <v>245</v>
      </c>
      <c r="F10" t="s">
        <v>20</v>
      </c>
      <c r="G10">
        <v>0</v>
      </c>
      <c r="H10">
        <v>180</v>
      </c>
      <c r="I10" t="s">
        <v>17</v>
      </c>
      <c r="J10">
        <v>0.2</v>
      </c>
      <c r="K10">
        <v>1</v>
      </c>
      <c r="L10">
        <v>0</v>
      </c>
      <c r="M10">
        <v>2</v>
      </c>
      <c r="N10" t="s">
        <v>18</v>
      </c>
    </row>
    <row r="11" spans="1:14" x14ac:dyDescent="0.3">
      <c r="A11">
        <v>52</v>
      </c>
      <c r="B11" t="s">
        <v>14</v>
      </c>
      <c r="C11" t="s">
        <v>22</v>
      </c>
      <c r="D11">
        <v>120</v>
      </c>
      <c r="E11">
        <v>325</v>
      </c>
      <c r="F11" t="s">
        <v>20</v>
      </c>
      <c r="G11">
        <v>1</v>
      </c>
      <c r="H11">
        <v>172</v>
      </c>
      <c r="I11" t="s">
        <v>17</v>
      </c>
      <c r="J11">
        <v>0.2</v>
      </c>
      <c r="K11">
        <v>2</v>
      </c>
      <c r="L11">
        <v>0</v>
      </c>
      <c r="M11">
        <v>2</v>
      </c>
      <c r="N11" t="s">
        <v>18</v>
      </c>
    </row>
    <row r="12" spans="1:14" x14ac:dyDescent="0.3">
      <c r="A12">
        <v>52</v>
      </c>
      <c r="B12" t="s">
        <v>14</v>
      </c>
      <c r="C12" t="s">
        <v>22</v>
      </c>
      <c r="D12">
        <v>134</v>
      </c>
      <c r="E12">
        <v>201</v>
      </c>
      <c r="F12" t="s">
        <v>20</v>
      </c>
      <c r="G12">
        <v>1</v>
      </c>
      <c r="H12">
        <v>158</v>
      </c>
      <c r="I12" t="s">
        <v>17</v>
      </c>
      <c r="J12">
        <v>0.8</v>
      </c>
      <c r="K12">
        <v>2</v>
      </c>
      <c r="L12">
        <v>1</v>
      </c>
      <c r="M12">
        <v>2</v>
      </c>
      <c r="N12" t="s">
        <v>18</v>
      </c>
    </row>
    <row r="13" spans="1:14" x14ac:dyDescent="0.3">
      <c r="A13">
        <v>54</v>
      </c>
      <c r="B13" t="s">
        <v>14</v>
      </c>
      <c r="C13" t="s">
        <v>22</v>
      </c>
      <c r="D13">
        <v>108</v>
      </c>
      <c r="E13">
        <v>309</v>
      </c>
      <c r="F13" t="s">
        <v>20</v>
      </c>
      <c r="G13">
        <v>1</v>
      </c>
      <c r="H13">
        <v>156</v>
      </c>
      <c r="I13" t="s">
        <v>17</v>
      </c>
      <c r="J13">
        <v>0</v>
      </c>
      <c r="K13">
        <v>2</v>
      </c>
      <c r="L13">
        <v>0</v>
      </c>
      <c r="M13">
        <v>3</v>
      </c>
      <c r="N13" t="s">
        <v>18</v>
      </c>
    </row>
    <row r="14" spans="1:14" x14ac:dyDescent="0.3">
      <c r="A14">
        <v>41</v>
      </c>
      <c r="B14" t="s">
        <v>14</v>
      </c>
      <c r="C14" t="s">
        <v>22</v>
      </c>
      <c r="D14">
        <v>135</v>
      </c>
      <c r="E14">
        <v>203</v>
      </c>
      <c r="F14" t="s">
        <v>20</v>
      </c>
      <c r="G14">
        <v>1</v>
      </c>
      <c r="H14">
        <v>132</v>
      </c>
      <c r="I14" t="s">
        <v>17</v>
      </c>
      <c r="J14">
        <v>0</v>
      </c>
      <c r="K14">
        <v>1</v>
      </c>
      <c r="L14">
        <v>0</v>
      </c>
      <c r="M14">
        <v>1</v>
      </c>
      <c r="N14" t="s">
        <v>18</v>
      </c>
    </row>
    <row r="15" spans="1:14" x14ac:dyDescent="0.3">
      <c r="A15">
        <v>45</v>
      </c>
      <c r="B15" t="s">
        <v>21</v>
      </c>
      <c r="C15" t="s">
        <v>22</v>
      </c>
      <c r="D15">
        <v>130</v>
      </c>
      <c r="E15">
        <v>234</v>
      </c>
      <c r="F15" t="s">
        <v>20</v>
      </c>
      <c r="G15">
        <v>0</v>
      </c>
      <c r="H15">
        <v>175</v>
      </c>
      <c r="I15" t="s">
        <v>17</v>
      </c>
      <c r="J15">
        <v>0.6</v>
      </c>
      <c r="K15">
        <v>1</v>
      </c>
      <c r="L15">
        <v>0</v>
      </c>
      <c r="M15">
        <v>2</v>
      </c>
      <c r="N15" t="s">
        <v>18</v>
      </c>
    </row>
    <row r="16" spans="1:14" x14ac:dyDescent="0.3">
      <c r="A16">
        <v>44</v>
      </c>
      <c r="B16" t="s">
        <v>14</v>
      </c>
      <c r="C16" t="s">
        <v>22</v>
      </c>
      <c r="D16">
        <v>120</v>
      </c>
      <c r="E16">
        <v>220</v>
      </c>
      <c r="F16" t="s">
        <v>20</v>
      </c>
      <c r="G16">
        <v>1</v>
      </c>
      <c r="H16">
        <v>170</v>
      </c>
      <c r="I16" t="s">
        <v>17</v>
      </c>
      <c r="J16">
        <v>0</v>
      </c>
      <c r="K16">
        <v>2</v>
      </c>
      <c r="L16">
        <v>0</v>
      </c>
      <c r="M16">
        <v>2</v>
      </c>
      <c r="N16" t="s">
        <v>18</v>
      </c>
    </row>
    <row r="17" spans="1:14" x14ac:dyDescent="0.3">
      <c r="A17">
        <v>29</v>
      </c>
      <c r="B17" t="s">
        <v>14</v>
      </c>
      <c r="C17" t="s">
        <v>22</v>
      </c>
      <c r="D17">
        <v>130</v>
      </c>
      <c r="E17">
        <v>204</v>
      </c>
      <c r="F17" t="s">
        <v>20</v>
      </c>
      <c r="G17">
        <v>0</v>
      </c>
      <c r="H17">
        <v>202</v>
      </c>
      <c r="I17" t="s">
        <v>17</v>
      </c>
      <c r="J17">
        <v>0</v>
      </c>
      <c r="K17">
        <v>2</v>
      </c>
      <c r="L17">
        <v>0</v>
      </c>
      <c r="M17">
        <v>2</v>
      </c>
      <c r="N17" t="s">
        <v>18</v>
      </c>
    </row>
    <row r="18" spans="1:14" x14ac:dyDescent="0.3">
      <c r="A18">
        <v>55</v>
      </c>
      <c r="B18" t="s">
        <v>21</v>
      </c>
      <c r="C18" t="s">
        <v>22</v>
      </c>
      <c r="D18">
        <v>135</v>
      </c>
      <c r="E18">
        <v>250</v>
      </c>
      <c r="F18" t="s">
        <v>20</v>
      </c>
      <c r="G18">
        <v>0</v>
      </c>
      <c r="H18">
        <v>161</v>
      </c>
      <c r="I18" t="s">
        <v>17</v>
      </c>
      <c r="J18">
        <v>1.4</v>
      </c>
      <c r="K18">
        <v>1</v>
      </c>
      <c r="L18">
        <v>0</v>
      </c>
      <c r="M18">
        <v>2</v>
      </c>
      <c r="N18" t="s">
        <v>18</v>
      </c>
    </row>
    <row r="19" spans="1:14" x14ac:dyDescent="0.3">
      <c r="A19">
        <v>59</v>
      </c>
      <c r="B19" t="s">
        <v>14</v>
      </c>
      <c r="C19" t="s">
        <v>22</v>
      </c>
      <c r="D19">
        <v>140</v>
      </c>
      <c r="E19">
        <v>221</v>
      </c>
      <c r="F19" t="s">
        <v>20</v>
      </c>
      <c r="G19">
        <v>1</v>
      </c>
      <c r="H19">
        <v>164</v>
      </c>
      <c r="I19" t="s">
        <v>24</v>
      </c>
      <c r="J19">
        <v>0</v>
      </c>
      <c r="K19">
        <v>2</v>
      </c>
      <c r="L19">
        <v>0</v>
      </c>
      <c r="M19">
        <v>2</v>
      </c>
      <c r="N19" t="s">
        <v>18</v>
      </c>
    </row>
    <row r="20" spans="1:14" x14ac:dyDescent="0.3">
      <c r="A20">
        <v>52</v>
      </c>
      <c r="B20" t="s">
        <v>14</v>
      </c>
      <c r="C20" t="s">
        <v>22</v>
      </c>
      <c r="D20">
        <v>128</v>
      </c>
      <c r="E20">
        <v>205</v>
      </c>
      <c r="F20" t="s">
        <v>16</v>
      </c>
      <c r="G20">
        <v>1</v>
      </c>
      <c r="H20">
        <v>184</v>
      </c>
      <c r="I20" t="s">
        <v>17</v>
      </c>
      <c r="J20">
        <v>0</v>
      </c>
      <c r="K20">
        <v>2</v>
      </c>
      <c r="L20">
        <v>0</v>
      </c>
      <c r="M20">
        <v>2</v>
      </c>
      <c r="N20" t="s">
        <v>18</v>
      </c>
    </row>
    <row r="21" spans="1:14" x14ac:dyDescent="0.3">
      <c r="A21">
        <v>45</v>
      </c>
      <c r="B21" t="s">
        <v>14</v>
      </c>
      <c r="C21" t="s">
        <v>22</v>
      </c>
      <c r="D21">
        <v>128</v>
      </c>
      <c r="E21">
        <v>308</v>
      </c>
      <c r="F21" t="s">
        <v>20</v>
      </c>
      <c r="G21">
        <v>0</v>
      </c>
      <c r="H21">
        <v>170</v>
      </c>
      <c r="I21" t="s">
        <v>17</v>
      </c>
      <c r="J21">
        <v>0</v>
      </c>
      <c r="K21">
        <v>2</v>
      </c>
      <c r="L21">
        <v>0</v>
      </c>
      <c r="M21">
        <v>2</v>
      </c>
      <c r="N21" t="s">
        <v>18</v>
      </c>
    </row>
    <row r="22" spans="1:14" x14ac:dyDescent="0.3">
      <c r="A22">
        <v>46</v>
      </c>
      <c r="B22" t="s">
        <v>14</v>
      </c>
      <c r="C22" t="s">
        <v>22</v>
      </c>
      <c r="D22">
        <v>101</v>
      </c>
      <c r="E22">
        <v>197</v>
      </c>
      <c r="F22" t="s">
        <v>16</v>
      </c>
      <c r="G22">
        <v>1</v>
      </c>
      <c r="H22">
        <v>156</v>
      </c>
      <c r="I22" t="s">
        <v>17</v>
      </c>
      <c r="J22">
        <v>0</v>
      </c>
      <c r="K22">
        <v>2</v>
      </c>
      <c r="L22">
        <v>0</v>
      </c>
      <c r="M22">
        <v>3</v>
      </c>
      <c r="N22" t="s">
        <v>18</v>
      </c>
    </row>
    <row r="23" spans="1:14" x14ac:dyDescent="0.3">
      <c r="A23">
        <v>54</v>
      </c>
      <c r="B23" t="s">
        <v>21</v>
      </c>
      <c r="C23" t="s">
        <v>22</v>
      </c>
      <c r="D23">
        <v>132</v>
      </c>
      <c r="E23">
        <v>288</v>
      </c>
      <c r="F23" t="s">
        <v>16</v>
      </c>
      <c r="G23">
        <v>0</v>
      </c>
      <c r="H23">
        <v>159</v>
      </c>
      <c r="I23" t="s">
        <v>24</v>
      </c>
      <c r="J23">
        <v>0</v>
      </c>
      <c r="K23">
        <v>2</v>
      </c>
      <c r="L23">
        <v>1</v>
      </c>
      <c r="M23">
        <v>2</v>
      </c>
      <c r="N23" t="s">
        <v>18</v>
      </c>
    </row>
    <row r="24" spans="1:14" x14ac:dyDescent="0.3">
      <c r="A24">
        <v>45</v>
      </c>
      <c r="B24" t="s">
        <v>21</v>
      </c>
      <c r="C24" t="s">
        <v>22</v>
      </c>
      <c r="D24">
        <v>112</v>
      </c>
      <c r="E24">
        <v>160</v>
      </c>
      <c r="F24" t="s">
        <v>20</v>
      </c>
      <c r="G24">
        <v>1</v>
      </c>
      <c r="H24">
        <v>138</v>
      </c>
      <c r="I24" t="s">
        <v>17</v>
      </c>
      <c r="J24">
        <v>0</v>
      </c>
      <c r="K24">
        <v>1</v>
      </c>
      <c r="L24">
        <v>0</v>
      </c>
      <c r="M24">
        <v>2</v>
      </c>
      <c r="N24" t="s">
        <v>18</v>
      </c>
    </row>
    <row r="25" spans="1:14" x14ac:dyDescent="0.3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</v>
      </c>
      <c r="N25" s="1" t="s">
        <v>13</v>
      </c>
    </row>
    <row r="26" spans="1:14" x14ac:dyDescent="0.3">
      <c r="A26">
        <v>41</v>
      </c>
      <c r="B26" t="s">
        <v>21</v>
      </c>
      <c r="C26" t="s">
        <v>22</v>
      </c>
      <c r="D26">
        <v>130</v>
      </c>
      <c r="E26">
        <v>204</v>
      </c>
      <c r="F26" t="s">
        <v>20</v>
      </c>
      <c r="G26">
        <v>0</v>
      </c>
      <c r="H26">
        <v>172</v>
      </c>
      <c r="I26" t="s">
        <v>17</v>
      </c>
      <c r="J26">
        <v>1.4</v>
      </c>
      <c r="K26">
        <v>2</v>
      </c>
      <c r="L26">
        <v>0</v>
      </c>
      <c r="M26">
        <v>2</v>
      </c>
      <c r="N26" t="s">
        <v>18</v>
      </c>
    </row>
    <row r="27" spans="1:14" x14ac:dyDescent="0.3">
      <c r="A27">
        <v>56</v>
      </c>
      <c r="B27" t="s">
        <v>14</v>
      </c>
      <c r="C27" t="s">
        <v>22</v>
      </c>
      <c r="D27">
        <v>120</v>
      </c>
      <c r="E27">
        <v>236</v>
      </c>
      <c r="F27" t="s">
        <v>20</v>
      </c>
      <c r="G27">
        <v>1</v>
      </c>
      <c r="H27">
        <v>178</v>
      </c>
      <c r="I27" t="s">
        <v>17</v>
      </c>
      <c r="J27">
        <v>0.8</v>
      </c>
      <c r="K27">
        <v>2</v>
      </c>
      <c r="L27">
        <v>0</v>
      </c>
      <c r="M27">
        <v>2</v>
      </c>
      <c r="N27" t="s">
        <v>18</v>
      </c>
    </row>
    <row r="28" spans="1:14" x14ac:dyDescent="0.3">
      <c r="A28">
        <v>56</v>
      </c>
      <c r="B28" t="s">
        <v>21</v>
      </c>
      <c r="C28" t="s">
        <v>22</v>
      </c>
      <c r="D28">
        <v>140</v>
      </c>
      <c r="E28">
        <v>294</v>
      </c>
      <c r="F28" t="s">
        <v>20</v>
      </c>
      <c r="G28">
        <v>0</v>
      </c>
      <c r="H28">
        <v>153</v>
      </c>
      <c r="I28" t="s">
        <v>17</v>
      </c>
      <c r="J28">
        <v>1.3</v>
      </c>
      <c r="K28">
        <v>1</v>
      </c>
      <c r="L28">
        <v>0</v>
      </c>
      <c r="M28">
        <v>2</v>
      </c>
      <c r="N28" t="s">
        <v>18</v>
      </c>
    </row>
    <row r="29" spans="1:14" x14ac:dyDescent="0.3">
      <c r="A29">
        <v>44</v>
      </c>
      <c r="B29" t="s">
        <v>14</v>
      </c>
      <c r="C29" t="s">
        <v>22</v>
      </c>
      <c r="D29">
        <v>120</v>
      </c>
      <c r="E29">
        <v>263</v>
      </c>
      <c r="F29" t="s">
        <v>20</v>
      </c>
      <c r="G29">
        <v>1</v>
      </c>
      <c r="H29">
        <v>173</v>
      </c>
      <c r="I29" t="s">
        <v>17</v>
      </c>
      <c r="J29">
        <v>0</v>
      </c>
      <c r="K29">
        <v>2</v>
      </c>
      <c r="L29">
        <v>0</v>
      </c>
      <c r="M29">
        <v>3</v>
      </c>
      <c r="N29" t="s">
        <v>18</v>
      </c>
    </row>
    <row r="30" spans="1:14" x14ac:dyDescent="0.3">
      <c r="A30">
        <v>49</v>
      </c>
      <c r="B30" t="s">
        <v>14</v>
      </c>
      <c r="C30" t="s">
        <v>22</v>
      </c>
      <c r="D30">
        <v>130</v>
      </c>
      <c r="E30">
        <v>266</v>
      </c>
      <c r="F30" t="s">
        <v>20</v>
      </c>
      <c r="G30">
        <v>1</v>
      </c>
      <c r="H30">
        <v>171</v>
      </c>
      <c r="I30" t="s">
        <v>17</v>
      </c>
      <c r="J30">
        <v>0.6</v>
      </c>
      <c r="K30">
        <v>2</v>
      </c>
      <c r="L30">
        <v>0</v>
      </c>
      <c r="M30">
        <v>2</v>
      </c>
      <c r="N30" t="s">
        <v>18</v>
      </c>
    </row>
    <row r="31" spans="1:14" x14ac:dyDescent="0.3">
      <c r="A31">
        <v>71</v>
      </c>
      <c r="B31" t="s">
        <v>21</v>
      </c>
      <c r="C31" t="s">
        <v>22</v>
      </c>
      <c r="D31">
        <v>160</v>
      </c>
      <c r="E31">
        <v>302</v>
      </c>
      <c r="F31" t="s">
        <v>20</v>
      </c>
      <c r="G31">
        <v>1</v>
      </c>
      <c r="H31">
        <v>162</v>
      </c>
      <c r="I31" t="s">
        <v>17</v>
      </c>
      <c r="J31">
        <v>0.4</v>
      </c>
      <c r="K31">
        <v>2</v>
      </c>
      <c r="L31">
        <v>2</v>
      </c>
      <c r="M31">
        <v>2</v>
      </c>
      <c r="N31" t="s">
        <v>18</v>
      </c>
    </row>
    <row r="32" spans="1:14" x14ac:dyDescent="0.3">
      <c r="A32">
        <v>41</v>
      </c>
      <c r="B32" t="s">
        <v>21</v>
      </c>
      <c r="C32" t="s">
        <v>22</v>
      </c>
      <c r="D32">
        <v>105</v>
      </c>
      <c r="E32">
        <v>198</v>
      </c>
      <c r="F32" t="s">
        <v>20</v>
      </c>
      <c r="G32">
        <v>1</v>
      </c>
      <c r="H32">
        <v>168</v>
      </c>
      <c r="I32" t="s">
        <v>17</v>
      </c>
      <c r="J32">
        <v>0</v>
      </c>
      <c r="K32">
        <v>2</v>
      </c>
      <c r="L32">
        <v>1</v>
      </c>
      <c r="M32">
        <v>2</v>
      </c>
      <c r="N32" t="s">
        <v>18</v>
      </c>
    </row>
    <row r="33" spans="1:14" x14ac:dyDescent="0.3">
      <c r="A33">
        <v>44</v>
      </c>
      <c r="B33" t="s">
        <v>14</v>
      </c>
      <c r="C33" t="s">
        <v>22</v>
      </c>
      <c r="D33">
        <v>130</v>
      </c>
      <c r="E33">
        <v>219</v>
      </c>
      <c r="F33" t="s">
        <v>20</v>
      </c>
      <c r="G33">
        <v>0</v>
      </c>
      <c r="H33">
        <v>188</v>
      </c>
      <c r="I33" t="s">
        <v>17</v>
      </c>
      <c r="J33">
        <v>0</v>
      </c>
      <c r="K33">
        <v>2</v>
      </c>
      <c r="L33">
        <v>0</v>
      </c>
      <c r="M33">
        <v>2</v>
      </c>
      <c r="N33" t="s">
        <v>18</v>
      </c>
    </row>
    <row r="34" spans="1:14" x14ac:dyDescent="0.3">
      <c r="A34">
        <v>48</v>
      </c>
      <c r="B34" t="s">
        <v>14</v>
      </c>
      <c r="C34" t="s">
        <v>22</v>
      </c>
      <c r="D34">
        <v>130</v>
      </c>
      <c r="E34">
        <v>245</v>
      </c>
      <c r="F34" t="s">
        <v>20</v>
      </c>
      <c r="G34">
        <v>0</v>
      </c>
      <c r="H34">
        <v>180</v>
      </c>
      <c r="I34" t="s">
        <v>17</v>
      </c>
      <c r="J34">
        <v>0.2</v>
      </c>
      <c r="K34">
        <v>1</v>
      </c>
      <c r="L34">
        <v>0</v>
      </c>
      <c r="M34">
        <v>2</v>
      </c>
      <c r="N34" t="s">
        <v>18</v>
      </c>
    </row>
    <row r="35" spans="1:14" x14ac:dyDescent="0.3">
      <c r="A35">
        <v>52</v>
      </c>
      <c r="B35" t="s">
        <v>14</v>
      </c>
      <c r="C35" t="s">
        <v>22</v>
      </c>
      <c r="D35">
        <v>120</v>
      </c>
      <c r="E35">
        <v>325</v>
      </c>
      <c r="F35" t="s">
        <v>20</v>
      </c>
      <c r="G35">
        <v>1</v>
      </c>
      <c r="H35">
        <v>172</v>
      </c>
      <c r="I35" t="s">
        <v>17</v>
      </c>
      <c r="J35">
        <v>0.2</v>
      </c>
      <c r="K35">
        <v>2</v>
      </c>
      <c r="L35">
        <v>0</v>
      </c>
      <c r="M35">
        <v>2</v>
      </c>
      <c r="N35" t="s">
        <v>18</v>
      </c>
    </row>
    <row r="36" spans="1:14" x14ac:dyDescent="0.3">
      <c r="A36">
        <v>52</v>
      </c>
      <c r="B36" t="s">
        <v>14</v>
      </c>
      <c r="C36" t="s">
        <v>22</v>
      </c>
      <c r="D36">
        <v>134</v>
      </c>
      <c r="E36">
        <v>201</v>
      </c>
      <c r="F36" t="s">
        <v>20</v>
      </c>
      <c r="G36">
        <v>1</v>
      </c>
      <c r="H36">
        <v>158</v>
      </c>
      <c r="I36" t="s">
        <v>17</v>
      </c>
      <c r="J36">
        <v>0.8</v>
      </c>
      <c r="K36">
        <v>2</v>
      </c>
      <c r="L36">
        <v>1</v>
      </c>
      <c r="M36">
        <v>2</v>
      </c>
      <c r="N36" t="s">
        <v>18</v>
      </c>
    </row>
    <row r="37" spans="1:14" x14ac:dyDescent="0.3">
      <c r="A37">
        <v>54</v>
      </c>
      <c r="B37" t="s">
        <v>14</v>
      </c>
      <c r="C37" t="s">
        <v>22</v>
      </c>
      <c r="D37">
        <v>108</v>
      </c>
      <c r="E37">
        <v>309</v>
      </c>
      <c r="F37" t="s">
        <v>20</v>
      </c>
      <c r="G37">
        <v>1</v>
      </c>
      <c r="H37">
        <v>156</v>
      </c>
      <c r="I37" t="s">
        <v>17</v>
      </c>
      <c r="J37">
        <v>0</v>
      </c>
      <c r="K37">
        <v>2</v>
      </c>
      <c r="L37">
        <v>0</v>
      </c>
      <c r="M37">
        <v>3</v>
      </c>
      <c r="N37" t="s">
        <v>18</v>
      </c>
    </row>
    <row r="38" spans="1:14" x14ac:dyDescent="0.3">
      <c r="A38">
        <v>41</v>
      </c>
      <c r="B38" t="s">
        <v>14</v>
      </c>
      <c r="C38" t="s">
        <v>22</v>
      </c>
      <c r="D38">
        <v>135</v>
      </c>
      <c r="E38">
        <v>203</v>
      </c>
      <c r="F38" t="s">
        <v>20</v>
      </c>
      <c r="G38">
        <v>1</v>
      </c>
      <c r="H38">
        <v>132</v>
      </c>
      <c r="I38" t="s">
        <v>17</v>
      </c>
      <c r="J38">
        <v>0</v>
      </c>
      <c r="K38">
        <v>1</v>
      </c>
      <c r="L38">
        <v>0</v>
      </c>
      <c r="M38">
        <v>1</v>
      </c>
      <c r="N38" t="s">
        <v>18</v>
      </c>
    </row>
    <row r="39" spans="1:14" x14ac:dyDescent="0.3">
      <c r="A39">
        <v>45</v>
      </c>
      <c r="B39" t="s">
        <v>21</v>
      </c>
      <c r="C39" t="s">
        <v>22</v>
      </c>
      <c r="D39">
        <v>130</v>
      </c>
      <c r="E39">
        <v>234</v>
      </c>
      <c r="F39" t="s">
        <v>20</v>
      </c>
      <c r="G39">
        <v>0</v>
      </c>
      <c r="H39">
        <v>175</v>
      </c>
      <c r="I39" t="s">
        <v>17</v>
      </c>
      <c r="J39">
        <v>0.6</v>
      </c>
      <c r="K39">
        <v>1</v>
      </c>
      <c r="L39">
        <v>0</v>
      </c>
      <c r="M39">
        <v>2</v>
      </c>
      <c r="N39" t="s">
        <v>18</v>
      </c>
    </row>
    <row r="40" spans="1:14" x14ac:dyDescent="0.3">
      <c r="A40">
        <v>44</v>
      </c>
      <c r="B40" t="s">
        <v>14</v>
      </c>
      <c r="C40" t="s">
        <v>22</v>
      </c>
      <c r="D40">
        <v>120</v>
      </c>
      <c r="E40">
        <v>220</v>
      </c>
      <c r="F40" t="s">
        <v>20</v>
      </c>
      <c r="G40">
        <v>1</v>
      </c>
      <c r="H40">
        <v>170</v>
      </c>
      <c r="I40" t="s">
        <v>17</v>
      </c>
      <c r="J40">
        <v>0</v>
      </c>
      <c r="K40">
        <v>2</v>
      </c>
      <c r="L40">
        <v>0</v>
      </c>
      <c r="M40">
        <v>2</v>
      </c>
      <c r="N40" t="s">
        <v>18</v>
      </c>
    </row>
    <row r="41" spans="1:14" x14ac:dyDescent="0.3">
      <c r="A41">
        <v>29</v>
      </c>
      <c r="B41" t="s">
        <v>14</v>
      </c>
      <c r="C41" t="s">
        <v>22</v>
      </c>
      <c r="D41">
        <v>130</v>
      </c>
      <c r="E41">
        <v>204</v>
      </c>
      <c r="F41" t="s">
        <v>20</v>
      </c>
      <c r="G41">
        <v>0</v>
      </c>
      <c r="H41">
        <v>202</v>
      </c>
      <c r="I41" t="s">
        <v>17</v>
      </c>
      <c r="J41">
        <v>0</v>
      </c>
      <c r="K41">
        <v>2</v>
      </c>
      <c r="L41">
        <v>0</v>
      </c>
      <c r="M41">
        <v>2</v>
      </c>
      <c r="N41" t="s">
        <v>18</v>
      </c>
    </row>
    <row r="42" spans="1:14" x14ac:dyDescent="0.3">
      <c r="A42">
        <v>55</v>
      </c>
      <c r="B42" t="s">
        <v>21</v>
      </c>
      <c r="C42" t="s">
        <v>22</v>
      </c>
      <c r="D42">
        <v>135</v>
      </c>
      <c r="E42">
        <v>250</v>
      </c>
      <c r="F42" t="s">
        <v>20</v>
      </c>
      <c r="G42">
        <v>0</v>
      </c>
      <c r="H42">
        <v>161</v>
      </c>
      <c r="I42" t="s">
        <v>17</v>
      </c>
      <c r="J42">
        <v>1.4</v>
      </c>
      <c r="K42">
        <v>1</v>
      </c>
      <c r="L42">
        <v>0</v>
      </c>
      <c r="M42">
        <v>2</v>
      </c>
      <c r="N42" t="s">
        <v>18</v>
      </c>
    </row>
    <row r="43" spans="1:14" x14ac:dyDescent="0.3">
      <c r="A43">
        <v>59</v>
      </c>
      <c r="B43" t="s">
        <v>14</v>
      </c>
      <c r="C43" t="s">
        <v>22</v>
      </c>
      <c r="D43">
        <v>140</v>
      </c>
      <c r="E43">
        <v>221</v>
      </c>
      <c r="F43" t="s">
        <v>20</v>
      </c>
      <c r="G43">
        <v>1</v>
      </c>
      <c r="H43">
        <v>164</v>
      </c>
      <c r="I43" t="s">
        <v>24</v>
      </c>
      <c r="J43">
        <v>0</v>
      </c>
      <c r="K43">
        <v>2</v>
      </c>
      <c r="L43">
        <v>0</v>
      </c>
      <c r="M43">
        <v>2</v>
      </c>
      <c r="N43" t="s">
        <v>18</v>
      </c>
    </row>
    <row r="44" spans="1:14" x14ac:dyDescent="0.3">
      <c r="A44">
        <v>52</v>
      </c>
      <c r="B44" t="s">
        <v>14</v>
      </c>
      <c r="C44" t="s">
        <v>22</v>
      </c>
      <c r="D44">
        <v>128</v>
      </c>
      <c r="E44">
        <v>205</v>
      </c>
      <c r="F44" t="s">
        <v>16</v>
      </c>
      <c r="G44">
        <v>1</v>
      </c>
      <c r="H44">
        <v>184</v>
      </c>
      <c r="I44" t="s">
        <v>17</v>
      </c>
      <c r="J44">
        <v>0</v>
      </c>
      <c r="K44">
        <v>2</v>
      </c>
      <c r="L44">
        <v>0</v>
      </c>
      <c r="M44">
        <v>2</v>
      </c>
      <c r="N44" t="s">
        <v>18</v>
      </c>
    </row>
    <row r="45" spans="1:14" x14ac:dyDescent="0.3">
      <c r="A45">
        <v>45</v>
      </c>
      <c r="B45" t="s">
        <v>14</v>
      </c>
      <c r="C45" t="s">
        <v>22</v>
      </c>
      <c r="D45">
        <v>128</v>
      </c>
      <c r="E45">
        <v>308</v>
      </c>
      <c r="F45" t="s">
        <v>20</v>
      </c>
      <c r="G45">
        <v>0</v>
      </c>
      <c r="H45">
        <v>170</v>
      </c>
      <c r="I45" t="s">
        <v>17</v>
      </c>
      <c r="J45">
        <v>0</v>
      </c>
      <c r="K45">
        <v>2</v>
      </c>
      <c r="L45">
        <v>0</v>
      </c>
      <c r="M45">
        <v>2</v>
      </c>
      <c r="N45" t="s">
        <v>18</v>
      </c>
    </row>
    <row r="46" spans="1:14" x14ac:dyDescent="0.3">
      <c r="A46">
        <v>46</v>
      </c>
      <c r="B46" t="s">
        <v>14</v>
      </c>
      <c r="C46" t="s">
        <v>22</v>
      </c>
      <c r="D46">
        <v>101</v>
      </c>
      <c r="E46">
        <v>197</v>
      </c>
      <c r="F46" t="s">
        <v>16</v>
      </c>
      <c r="G46">
        <v>1</v>
      </c>
      <c r="H46">
        <v>156</v>
      </c>
      <c r="I46" t="s">
        <v>17</v>
      </c>
      <c r="J46">
        <v>0</v>
      </c>
      <c r="K46">
        <v>2</v>
      </c>
      <c r="L46">
        <v>0</v>
      </c>
      <c r="M46">
        <v>3</v>
      </c>
      <c r="N46" t="s">
        <v>18</v>
      </c>
    </row>
    <row r="47" spans="1:14" x14ac:dyDescent="0.3">
      <c r="A47">
        <v>54</v>
      </c>
      <c r="B47" t="s">
        <v>21</v>
      </c>
      <c r="C47" t="s">
        <v>22</v>
      </c>
      <c r="D47">
        <v>132</v>
      </c>
      <c r="E47">
        <v>288</v>
      </c>
      <c r="F47" t="s">
        <v>16</v>
      </c>
      <c r="G47">
        <v>0</v>
      </c>
      <c r="H47">
        <v>159</v>
      </c>
      <c r="I47" t="s">
        <v>24</v>
      </c>
      <c r="J47">
        <v>0</v>
      </c>
      <c r="K47">
        <v>2</v>
      </c>
      <c r="L47">
        <v>1</v>
      </c>
      <c r="M47">
        <v>2</v>
      </c>
      <c r="N47" t="s">
        <v>18</v>
      </c>
    </row>
    <row r="48" spans="1:14" x14ac:dyDescent="0.3">
      <c r="A48">
        <v>45</v>
      </c>
      <c r="B48" t="s">
        <v>21</v>
      </c>
      <c r="C48" t="s">
        <v>22</v>
      </c>
      <c r="D48">
        <v>112</v>
      </c>
      <c r="E48">
        <v>160</v>
      </c>
      <c r="F48" t="s">
        <v>20</v>
      </c>
      <c r="G48">
        <v>1</v>
      </c>
      <c r="H48">
        <v>138</v>
      </c>
      <c r="I48" t="s">
        <v>17</v>
      </c>
      <c r="J48">
        <v>0</v>
      </c>
      <c r="K48">
        <v>1</v>
      </c>
      <c r="L48">
        <v>0</v>
      </c>
      <c r="M48">
        <v>2</v>
      </c>
      <c r="N48" t="s">
        <v>18</v>
      </c>
    </row>
    <row r="49" spans="1:14" x14ac:dyDescent="0.3">
      <c r="A49">
        <v>63</v>
      </c>
      <c r="B49" t="s">
        <v>21</v>
      </c>
      <c r="C49" t="s">
        <v>22</v>
      </c>
      <c r="D49">
        <v>140</v>
      </c>
      <c r="E49">
        <v>195</v>
      </c>
      <c r="F49" t="s">
        <v>20</v>
      </c>
      <c r="G49">
        <v>1</v>
      </c>
      <c r="H49">
        <v>179</v>
      </c>
      <c r="I49" t="s">
        <v>17</v>
      </c>
      <c r="J49">
        <v>0</v>
      </c>
      <c r="K49">
        <v>2</v>
      </c>
      <c r="L49">
        <v>2</v>
      </c>
      <c r="M49">
        <v>2</v>
      </c>
      <c r="N49" t="s">
        <v>18</v>
      </c>
    </row>
    <row r="50" spans="1:14" x14ac:dyDescent="0.3">
      <c r="A50">
        <v>50</v>
      </c>
      <c r="B50" t="s">
        <v>21</v>
      </c>
      <c r="C50" t="s">
        <v>22</v>
      </c>
      <c r="D50">
        <v>120</v>
      </c>
      <c r="E50">
        <v>244</v>
      </c>
      <c r="F50" t="s">
        <v>20</v>
      </c>
      <c r="G50">
        <v>1</v>
      </c>
      <c r="H50">
        <v>162</v>
      </c>
      <c r="I50" t="s">
        <v>17</v>
      </c>
      <c r="J50">
        <v>1.1000000000000001</v>
      </c>
      <c r="K50">
        <v>2</v>
      </c>
      <c r="L50">
        <v>0</v>
      </c>
      <c r="M50">
        <v>2</v>
      </c>
      <c r="N50" t="s">
        <v>18</v>
      </c>
    </row>
    <row r="51" spans="1:14" x14ac:dyDescent="0.3">
      <c r="A51">
        <v>55</v>
      </c>
      <c r="B51" t="s">
        <v>14</v>
      </c>
      <c r="C51" t="s">
        <v>22</v>
      </c>
      <c r="D51">
        <v>130</v>
      </c>
      <c r="E51">
        <v>262</v>
      </c>
      <c r="F51" t="s">
        <v>20</v>
      </c>
      <c r="G51">
        <v>1</v>
      </c>
      <c r="H51">
        <v>155</v>
      </c>
      <c r="I51" t="s">
        <v>17</v>
      </c>
      <c r="J51">
        <v>0</v>
      </c>
      <c r="K51">
        <v>2</v>
      </c>
      <c r="L51">
        <v>0</v>
      </c>
      <c r="M51">
        <v>2</v>
      </c>
      <c r="N51" t="s">
        <v>18</v>
      </c>
    </row>
    <row r="52" spans="1:14" x14ac:dyDescent="0.3">
      <c r="A52">
        <v>46</v>
      </c>
      <c r="B52" t="s">
        <v>21</v>
      </c>
      <c r="C52" t="s">
        <v>22</v>
      </c>
      <c r="D52">
        <v>105</v>
      </c>
      <c r="E52">
        <v>204</v>
      </c>
      <c r="F52" t="s">
        <v>20</v>
      </c>
      <c r="G52">
        <v>1</v>
      </c>
      <c r="H52">
        <v>172</v>
      </c>
      <c r="I52" t="s">
        <v>17</v>
      </c>
      <c r="J52">
        <v>0</v>
      </c>
      <c r="K52">
        <v>2</v>
      </c>
      <c r="L52">
        <v>0</v>
      </c>
      <c r="M52">
        <v>2</v>
      </c>
      <c r="N52" t="s">
        <v>18</v>
      </c>
    </row>
    <row r="53" spans="1:14" x14ac:dyDescent="0.3">
      <c r="A53">
        <v>34</v>
      </c>
      <c r="B53" t="s">
        <v>21</v>
      </c>
      <c r="C53" t="s">
        <v>22</v>
      </c>
      <c r="D53">
        <v>118</v>
      </c>
      <c r="E53">
        <v>210</v>
      </c>
      <c r="F53" t="s">
        <v>20</v>
      </c>
      <c r="G53">
        <v>1</v>
      </c>
      <c r="H53">
        <v>192</v>
      </c>
      <c r="I53" t="s">
        <v>17</v>
      </c>
      <c r="J53">
        <v>0.7</v>
      </c>
      <c r="K53">
        <v>2</v>
      </c>
      <c r="L53">
        <v>0</v>
      </c>
      <c r="M53">
        <v>2</v>
      </c>
      <c r="N53" t="s">
        <v>18</v>
      </c>
    </row>
    <row r="54" spans="1:14" x14ac:dyDescent="0.3">
      <c r="A54">
        <v>74</v>
      </c>
      <c r="B54" t="s">
        <v>21</v>
      </c>
      <c r="C54" t="s">
        <v>22</v>
      </c>
      <c r="D54">
        <v>120</v>
      </c>
      <c r="E54">
        <v>269</v>
      </c>
      <c r="F54" t="s">
        <v>20</v>
      </c>
      <c r="G54">
        <v>0</v>
      </c>
      <c r="H54">
        <v>121</v>
      </c>
      <c r="I54" t="s">
        <v>24</v>
      </c>
      <c r="J54">
        <v>0.2</v>
      </c>
      <c r="K54">
        <v>2</v>
      </c>
      <c r="L54">
        <v>1</v>
      </c>
      <c r="M54">
        <v>2</v>
      </c>
      <c r="N54" t="s">
        <v>18</v>
      </c>
    </row>
    <row r="55" spans="1:14" x14ac:dyDescent="0.3">
      <c r="A55">
        <v>49</v>
      </c>
      <c r="B55" t="s">
        <v>21</v>
      </c>
      <c r="C55" t="s">
        <v>22</v>
      </c>
      <c r="D55">
        <v>134</v>
      </c>
      <c r="E55">
        <v>271</v>
      </c>
      <c r="F55" t="s">
        <v>20</v>
      </c>
      <c r="G55">
        <v>1</v>
      </c>
      <c r="H55">
        <v>162</v>
      </c>
      <c r="I55" t="s">
        <v>17</v>
      </c>
      <c r="J55">
        <v>0</v>
      </c>
      <c r="K55">
        <v>1</v>
      </c>
      <c r="L55">
        <v>0</v>
      </c>
      <c r="M55">
        <v>2</v>
      </c>
      <c r="N55" t="s">
        <v>18</v>
      </c>
    </row>
    <row r="56" spans="1:14" x14ac:dyDescent="0.3">
      <c r="A56">
        <v>42</v>
      </c>
      <c r="B56" t="s">
        <v>14</v>
      </c>
      <c r="C56" t="s">
        <v>22</v>
      </c>
      <c r="D56">
        <v>120</v>
      </c>
      <c r="E56">
        <v>295</v>
      </c>
      <c r="F56" t="s">
        <v>20</v>
      </c>
      <c r="G56">
        <v>1</v>
      </c>
      <c r="H56">
        <v>162</v>
      </c>
      <c r="I56" t="s">
        <v>17</v>
      </c>
      <c r="J56">
        <v>0</v>
      </c>
      <c r="K56">
        <v>2</v>
      </c>
      <c r="L56">
        <v>0</v>
      </c>
      <c r="M56">
        <v>2</v>
      </c>
      <c r="N56" t="s">
        <v>18</v>
      </c>
    </row>
    <row r="57" spans="1:14" x14ac:dyDescent="0.3">
      <c r="A57">
        <v>41</v>
      </c>
      <c r="B57" t="s">
        <v>14</v>
      </c>
      <c r="C57" t="s">
        <v>22</v>
      </c>
      <c r="D57">
        <v>110</v>
      </c>
      <c r="E57">
        <v>235</v>
      </c>
      <c r="F57" t="s">
        <v>20</v>
      </c>
      <c r="G57">
        <v>1</v>
      </c>
      <c r="H57">
        <v>153</v>
      </c>
      <c r="I57" t="s">
        <v>17</v>
      </c>
      <c r="J57">
        <v>0</v>
      </c>
      <c r="K57">
        <v>2</v>
      </c>
      <c r="L57">
        <v>0</v>
      </c>
      <c r="M57">
        <v>2</v>
      </c>
      <c r="N57" t="s">
        <v>18</v>
      </c>
    </row>
    <row r="58" spans="1:14" x14ac:dyDescent="0.3">
      <c r="A58">
        <v>41</v>
      </c>
      <c r="B58" t="s">
        <v>21</v>
      </c>
      <c r="C58" t="s">
        <v>22</v>
      </c>
      <c r="D58">
        <v>126</v>
      </c>
      <c r="E58">
        <v>306</v>
      </c>
      <c r="F58" t="s">
        <v>20</v>
      </c>
      <c r="G58">
        <v>1</v>
      </c>
      <c r="H58">
        <v>163</v>
      </c>
      <c r="I58" t="s">
        <v>17</v>
      </c>
      <c r="J58">
        <v>0</v>
      </c>
      <c r="K58">
        <v>2</v>
      </c>
      <c r="L58">
        <v>0</v>
      </c>
      <c r="M58">
        <v>2</v>
      </c>
      <c r="N58" t="s">
        <v>18</v>
      </c>
    </row>
    <row r="59" spans="1:14" x14ac:dyDescent="0.3">
      <c r="A59">
        <v>62</v>
      </c>
      <c r="B59" t="s">
        <v>14</v>
      </c>
      <c r="C59" t="s">
        <v>22</v>
      </c>
      <c r="D59">
        <v>128</v>
      </c>
      <c r="E59">
        <v>208</v>
      </c>
      <c r="F59" t="s">
        <v>16</v>
      </c>
      <c r="G59">
        <v>0</v>
      </c>
      <c r="H59">
        <v>140</v>
      </c>
      <c r="I59" t="s">
        <v>17</v>
      </c>
      <c r="J59">
        <v>0</v>
      </c>
      <c r="K59">
        <v>2</v>
      </c>
      <c r="L59">
        <v>0</v>
      </c>
      <c r="M59">
        <v>2</v>
      </c>
      <c r="N59" t="s">
        <v>18</v>
      </c>
    </row>
    <row r="60" spans="1:14" x14ac:dyDescent="0.3">
      <c r="A60">
        <v>70</v>
      </c>
      <c r="B60" t="s">
        <v>14</v>
      </c>
      <c r="C60" t="s">
        <v>22</v>
      </c>
      <c r="D60">
        <v>156</v>
      </c>
      <c r="E60">
        <v>245</v>
      </c>
      <c r="F60" t="s">
        <v>20</v>
      </c>
      <c r="G60">
        <v>0</v>
      </c>
      <c r="H60">
        <v>143</v>
      </c>
      <c r="I60" t="s">
        <v>17</v>
      </c>
      <c r="J60">
        <v>0</v>
      </c>
      <c r="K60">
        <v>2</v>
      </c>
      <c r="L60">
        <v>0</v>
      </c>
      <c r="M60">
        <v>2</v>
      </c>
      <c r="N60" t="s">
        <v>18</v>
      </c>
    </row>
    <row r="61" spans="1:14" x14ac:dyDescent="0.3">
      <c r="A61">
        <v>35</v>
      </c>
      <c r="B61" t="s">
        <v>14</v>
      </c>
      <c r="C61" t="s">
        <v>22</v>
      </c>
      <c r="D61">
        <v>122</v>
      </c>
      <c r="E61">
        <v>192</v>
      </c>
      <c r="F61" t="s">
        <v>20</v>
      </c>
      <c r="G61">
        <v>1</v>
      </c>
      <c r="H61">
        <v>174</v>
      </c>
      <c r="I61" t="s">
        <v>17</v>
      </c>
      <c r="J61">
        <v>0</v>
      </c>
      <c r="K61">
        <v>2</v>
      </c>
      <c r="L61">
        <v>0</v>
      </c>
      <c r="M61">
        <v>2</v>
      </c>
      <c r="N61" t="s">
        <v>18</v>
      </c>
    </row>
    <row r="62" spans="1:14" x14ac:dyDescent="0.3">
      <c r="A62">
        <v>58</v>
      </c>
      <c r="B62" t="s">
        <v>14</v>
      </c>
      <c r="C62" t="s">
        <v>22</v>
      </c>
      <c r="D62">
        <v>125</v>
      </c>
      <c r="E62">
        <v>220</v>
      </c>
      <c r="F62" t="s">
        <v>20</v>
      </c>
      <c r="G62">
        <v>1</v>
      </c>
      <c r="H62">
        <v>144</v>
      </c>
      <c r="I62" t="s">
        <v>17</v>
      </c>
      <c r="J62">
        <v>0.4</v>
      </c>
      <c r="K62">
        <v>1</v>
      </c>
      <c r="L62">
        <v>4</v>
      </c>
      <c r="M62">
        <v>3</v>
      </c>
      <c r="N62" t="s">
        <v>18</v>
      </c>
    </row>
    <row r="63" spans="1:14" x14ac:dyDescent="0.3">
      <c r="A63">
        <v>56</v>
      </c>
      <c r="B63" t="s">
        <v>14</v>
      </c>
      <c r="C63" t="s">
        <v>22</v>
      </c>
      <c r="D63">
        <v>130</v>
      </c>
      <c r="E63">
        <v>221</v>
      </c>
      <c r="F63" t="s">
        <v>20</v>
      </c>
      <c r="G63">
        <v>0</v>
      </c>
      <c r="H63">
        <v>163</v>
      </c>
      <c r="I63" t="s">
        <v>17</v>
      </c>
      <c r="J63">
        <v>0</v>
      </c>
      <c r="K63">
        <v>2</v>
      </c>
      <c r="L63">
        <v>0</v>
      </c>
      <c r="M63">
        <v>3</v>
      </c>
      <c r="N63" t="s">
        <v>18</v>
      </c>
    </row>
    <row r="64" spans="1:14" x14ac:dyDescent="0.3">
      <c r="A64">
        <v>56</v>
      </c>
      <c r="B64" t="s">
        <v>14</v>
      </c>
      <c r="C64" t="s">
        <v>22</v>
      </c>
      <c r="D64">
        <v>120</v>
      </c>
      <c r="E64">
        <v>240</v>
      </c>
      <c r="F64" t="s">
        <v>20</v>
      </c>
      <c r="G64">
        <v>1</v>
      </c>
      <c r="H64">
        <v>169</v>
      </c>
      <c r="I64" t="s">
        <v>17</v>
      </c>
      <c r="J64">
        <v>0</v>
      </c>
      <c r="K64">
        <v>0</v>
      </c>
      <c r="L64">
        <v>0</v>
      </c>
      <c r="M64">
        <v>2</v>
      </c>
      <c r="N64" t="s">
        <v>18</v>
      </c>
    </row>
    <row r="65" spans="1:15" x14ac:dyDescent="0.3">
      <c r="A65">
        <v>55</v>
      </c>
      <c r="B65" t="s">
        <v>21</v>
      </c>
      <c r="C65" t="s">
        <v>22</v>
      </c>
      <c r="D65">
        <v>132</v>
      </c>
      <c r="E65">
        <v>342</v>
      </c>
      <c r="F65" t="s">
        <v>20</v>
      </c>
      <c r="G65">
        <v>1</v>
      </c>
      <c r="H65">
        <v>166</v>
      </c>
      <c r="I65" t="s">
        <v>17</v>
      </c>
      <c r="J65">
        <v>1.2</v>
      </c>
      <c r="K65">
        <v>2</v>
      </c>
      <c r="L65">
        <v>0</v>
      </c>
      <c r="M65">
        <v>2</v>
      </c>
      <c r="N65" t="s">
        <v>18</v>
      </c>
    </row>
    <row r="66" spans="1:15" x14ac:dyDescent="0.3">
      <c r="A66">
        <v>41</v>
      </c>
      <c r="B66" t="s">
        <v>14</v>
      </c>
      <c r="C66" t="s">
        <v>22</v>
      </c>
      <c r="D66">
        <v>120</v>
      </c>
      <c r="E66">
        <v>157</v>
      </c>
      <c r="F66" t="s">
        <v>20</v>
      </c>
      <c r="G66">
        <v>1</v>
      </c>
      <c r="H66">
        <v>182</v>
      </c>
      <c r="I66" t="s">
        <v>17</v>
      </c>
      <c r="J66">
        <v>0</v>
      </c>
      <c r="K66">
        <v>2</v>
      </c>
      <c r="L66">
        <v>0</v>
      </c>
      <c r="M66">
        <v>2</v>
      </c>
      <c r="N66" t="s">
        <v>18</v>
      </c>
    </row>
    <row r="68" spans="1:15" x14ac:dyDescent="0.3">
      <c r="A68" t="s">
        <v>37</v>
      </c>
      <c r="B68" t="s">
        <v>39</v>
      </c>
      <c r="D68" t="s">
        <v>40</v>
      </c>
    </row>
    <row r="69" spans="1:15" x14ac:dyDescent="0.3">
      <c r="A69" s="5">
        <f>AVERAGEIF(B26:B66,"Maschio",A26:A66)</f>
        <v>49.24</v>
      </c>
      <c r="B69" s="6">
        <f>COUNTIF(B26:B66,"Maschio")/COUNTA(B26:B66)</f>
        <v>0.6097560975609756</v>
      </c>
      <c r="D69" s="7">
        <f>AVERAGEIF(B26:B66,"Maschio",D26:D66)</f>
        <v>125.4</v>
      </c>
      <c r="O69" t="s">
        <v>38</v>
      </c>
    </row>
    <row r="70" spans="1:15" x14ac:dyDescent="0.3">
      <c r="A70" s="5">
        <f>AVERAGEIF(B26:B66,"Femmina",A26:A66)</f>
        <v>51.25</v>
      </c>
      <c r="B70" s="6">
        <f>COUNTIF(B26:B66,"Femmina")/COUNTA(B26:B66)</f>
        <v>0.3902439024390244</v>
      </c>
      <c r="D70" s="7">
        <f>AVERAGEIF(B26:B66,"Femmina",D26:D66)</f>
        <v>127.4375</v>
      </c>
    </row>
    <row r="75" spans="1:15" x14ac:dyDescent="0.3">
      <c r="A75">
        <v>43</v>
      </c>
      <c r="B75" t="s">
        <v>21</v>
      </c>
      <c r="C75" t="s">
        <v>23</v>
      </c>
      <c r="D75">
        <v>132</v>
      </c>
      <c r="E75">
        <v>341</v>
      </c>
      <c r="F75" t="s">
        <v>16</v>
      </c>
      <c r="G75">
        <v>0</v>
      </c>
      <c r="H75">
        <v>136</v>
      </c>
      <c r="I75" t="s">
        <v>24</v>
      </c>
      <c r="J75">
        <v>3</v>
      </c>
      <c r="K75">
        <v>1</v>
      </c>
      <c r="L75">
        <v>0</v>
      </c>
      <c r="M75">
        <v>3</v>
      </c>
      <c r="N75" t="s">
        <v>25</v>
      </c>
    </row>
    <row r="76" spans="1:15" x14ac:dyDescent="0.3">
      <c r="A76">
        <v>43</v>
      </c>
      <c r="B76" t="s">
        <v>14</v>
      </c>
      <c r="C76" t="s">
        <v>23</v>
      </c>
      <c r="D76">
        <v>132</v>
      </c>
      <c r="E76">
        <v>247</v>
      </c>
      <c r="F76" t="s">
        <v>16</v>
      </c>
      <c r="G76">
        <v>0</v>
      </c>
      <c r="H76">
        <v>143</v>
      </c>
      <c r="I76" t="s">
        <v>24</v>
      </c>
      <c r="J76">
        <v>0.1</v>
      </c>
      <c r="K76">
        <v>1</v>
      </c>
      <c r="L76">
        <v>4</v>
      </c>
      <c r="M76">
        <v>3</v>
      </c>
      <c r="N76" t="s">
        <v>25</v>
      </c>
    </row>
    <row r="77" spans="1:15" x14ac:dyDescent="0.3">
      <c r="A77">
        <v>48</v>
      </c>
      <c r="B77" t="s">
        <v>14</v>
      </c>
      <c r="C77" t="s">
        <v>23</v>
      </c>
      <c r="D77">
        <v>130</v>
      </c>
      <c r="E77">
        <v>256</v>
      </c>
      <c r="F77" t="s">
        <v>16</v>
      </c>
      <c r="G77">
        <v>0</v>
      </c>
      <c r="H77">
        <v>150</v>
      </c>
      <c r="I77" t="s">
        <v>24</v>
      </c>
      <c r="J77">
        <v>0</v>
      </c>
      <c r="K77">
        <v>2</v>
      </c>
      <c r="L77">
        <v>2</v>
      </c>
      <c r="M77">
        <v>3</v>
      </c>
      <c r="N77" t="s">
        <v>25</v>
      </c>
    </row>
    <row r="78" spans="1:15" x14ac:dyDescent="0.3">
      <c r="A78">
        <v>52</v>
      </c>
      <c r="B78" t="s">
        <v>14</v>
      </c>
      <c r="C78" t="s">
        <v>23</v>
      </c>
      <c r="D78">
        <v>128</v>
      </c>
      <c r="E78">
        <v>204</v>
      </c>
      <c r="F78" t="s">
        <v>16</v>
      </c>
      <c r="G78">
        <v>1</v>
      </c>
      <c r="H78">
        <v>156</v>
      </c>
      <c r="I78" t="s">
        <v>24</v>
      </c>
      <c r="J78">
        <v>1</v>
      </c>
      <c r="K78">
        <v>1</v>
      </c>
      <c r="L78">
        <v>0</v>
      </c>
      <c r="M78">
        <v>0</v>
      </c>
      <c r="N78" t="s">
        <v>25</v>
      </c>
    </row>
    <row r="79" spans="1:15" x14ac:dyDescent="0.3">
      <c r="A79">
        <v>53</v>
      </c>
      <c r="B79" t="s">
        <v>14</v>
      </c>
      <c r="C79" t="s">
        <v>23</v>
      </c>
      <c r="D79">
        <v>140</v>
      </c>
      <c r="E79">
        <v>203</v>
      </c>
      <c r="F79" t="s">
        <v>16</v>
      </c>
      <c r="G79">
        <v>0</v>
      </c>
      <c r="H79">
        <v>155</v>
      </c>
      <c r="I79" t="s">
        <v>24</v>
      </c>
      <c r="J79">
        <v>3.1</v>
      </c>
      <c r="K79">
        <v>0</v>
      </c>
      <c r="L79">
        <v>0</v>
      </c>
      <c r="M79">
        <v>3</v>
      </c>
      <c r="N79" t="s">
        <v>25</v>
      </c>
    </row>
    <row r="80" spans="1:15" x14ac:dyDescent="0.3">
      <c r="A80">
        <v>56</v>
      </c>
      <c r="B80" t="s">
        <v>14</v>
      </c>
      <c r="C80" t="s">
        <v>23</v>
      </c>
      <c r="D80">
        <v>125</v>
      </c>
      <c r="E80">
        <v>249</v>
      </c>
      <c r="F80" t="s">
        <v>16</v>
      </c>
      <c r="G80">
        <v>0</v>
      </c>
      <c r="H80">
        <v>144</v>
      </c>
      <c r="I80" t="s">
        <v>24</v>
      </c>
      <c r="J80">
        <v>1.2</v>
      </c>
      <c r="K80">
        <v>1</v>
      </c>
      <c r="L80">
        <v>1</v>
      </c>
      <c r="M80">
        <v>2</v>
      </c>
      <c r="N80" t="s">
        <v>25</v>
      </c>
    </row>
    <row r="81" spans="1:14" x14ac:dyDescent="0.3">
      <c r="A81">
        <v>56</v>
      </c>
      <c r="B81" t="s">
        <v>21</v>
      </c>
      <c r="C81" t="s">
        <v>23</v>
      </c>
      <c r="D81">
        <v>200</v>
      </c>
      <c r="E81">
        <v>288</v>
      </c>
      <c r="F81" t="s">
        <v>16</v>
      </c>
      <c r="G81">
        <v>0</v>
      </c>
      <c r="H81">
        <v>133</v>
      </c>
      <c r="I81" t="s">
        <v>24</v>
      </c>
      <c r="J81">
        <v>4</v>
      </c>
      <c r="K81">
        <v>0</v>
      </c>
      <c r="L81">
        <v>2</v>
      </c>
      <c r="M81">
        <v>3</v>
      </c>
      <c r="N81" t="s">
        <v>25</v>
      </c>
    </row>
    <row r="82" spans="1:14" x14ac:dyDescent="0.3">
      <c r="A82">
        <v>56</v>
      </c>
      <c r="B82" t="s">
        <v>14</v>
      </c>
      <c r="C82" t="s">
        <v>23</v>
      </c>
      <c r="D82">
        <v>130</v>
      </c>
      <c r="E82">
        <v>283</v>
      </c>
      <c r="F82" t="s">
        <v>16</v>
      </c>
      <c r="G82">
        <v>0</v>
      </c>
      <c r="H82">
        <v>103</v>
      </c>
      <c r="I82" t="s">
        <v>24</v>
      </c>
      <c r="J82">
        <v>1.6</v>
      </c>
      <c r="K82">
        <v>0</v>
      </c>
      <c r="L82">
        <v>0</v>
      </c>
      <c r="M82">
        <v>3</v>
      </c>
      <c r="N82" t="s">
        <v>25</v>
      </c>
    </row>
    <row r="83" spans="1:14" x14ac:dyDescent="0.3">
      <c r="A83">
        <v>57</v>
      </c>
      <c r="B83" t="s">
        <v>14</v>
      </c>
      <c r="C83" t="s">
        <v>23</v>
      </c>
      <c r="D83">
        <v>165</v>
      </c>
      <c r="E83">
        <v>289</v>
      </c>
      <c r="F83" t="s">
        <v>16</v>
      </c>
      <c r="G83">
        <v>0</v>
      </c>
      <c r="H83">
        <v>124</v>
      </c>
      <c r="I83" t="s">
        <v>17</v>
      </c>
      <c r="J83">
        <v>1</v>
      </c>
      <c r="K83">
        <v>1</v>
      </c>
      <c r="L83">
        <v>3</v>
      </c>
      <c r="M83">
        <v>3</v>
      </c>
      <c r="N83" t="s">
        <v>25</v>
      </c>
    </row>
    <row r="84" spans="1:14" x14ac:dyDescent="0.3">
      <c r="A84">
        <v>58</v>
      </c>
      <c r="B84" t="s">
        <v>21</v>
      </c>
      <c r="C84" t="s">
        <v>23</v>
      </c>
      <c r="D84">
        <v>170</v>
      </c>
      <c r="E84">
        <v>225</v>
      </c>
      <c r="F84" t="s">
        <v>16</v>
      </c>
      <c r="G84">
        <v>0</v>
      </c>
      <c r="H84">
        <v>146</v>
      </c>
      <c r="I84" t="s">
        <v>24</v>
      </c>
      <c r="J84">
        <v>2.8</v>
      </c>
      <c r="K84">
        <v>1</v>
      </c>
      <c r="L84">
        <v>2</v>
      </c>
      <c r="M84">
        <v>1</v>
      </c>
      <c r="N84" t="s">
        <v>25</v>
      </c>
    </row>
    <row r="85" spans="1:14" x14ac:dyDescent="0.3">
      <c r="A85">
        <v>59</v>
      </c>
      <c r="B85" t="s">
        <v>14</v>
      </c>
      <c r="C85" t="s">
        <v>23</v>
      </c>
      <c r="D85">
        <v>164</v>
      </c>
      <c r="E85">
        <v>176</v>
      </c>
      <c r="F85" t="s">
        <v>16</v>
      </c>
      <c r="G85">
        <v>0</v>
      </c>
      <c r="H85">
        <v>90</v>
      </c>
      <c r="I85" t="s">
        <v>17</v>
      </c>
      <c r="J85">
        <v>1</v>
      </c>
      <c r="K85">
        <v>1</v>
      </c>
      <c r="L85">
        <v>2</v>
      </c>
      <c r="M85">
        <v>1</v>
      </c>
      <c r="N85" t="s">
        <v>25</v>
      </c>
    </row>
    <row r="86" spans="1:14" x14ac:dyDescent="0.3">
      <c r="A86">
        <v>60</v>
      </c>
      <c r="B86" t="s">
        <v>14</v>
      </c>
      <c r="C86" t="s">
        <v>23</v>
      </c>
      <c r="D86">
        <v>117</v>
      </c>
      <c r="E86">
        <v>230</v>
      </c>
      <c r="F86" t="s">
        <v>16</v>
      </c>
      <c r="G86">
        <v>1</v>
      </c>
      <c r="H86">
        <v>160</v>
      </c>
      <c r="I86" t="s">
        <v>24</v>
      </c>
      <c r="J86">
        <v>1.4</v>
      </c>
      <c r="K86">
        <v>2</v>
      </c>
      <c r="L86">
        <v>2</v>
      </c>
      <c r="M86">
        <v>3</v>
      </c>
      <c r="N86" t="s">
        <v>25</v>
      </c>
    </row>
    <row r="87" spans="1:14" x14ac:dyDescent="0.3">
      <c r="A87">
        <v>62</v>
      </c>
      <c r="B87" t="s">
        <v>21</v>
      </c>
      <c r="C87" t="s">
        <v>23</v>
      </c>
      <c r="D87">
        <v>138</v>
      </c>
      <c r="E87">
        <v>294</v>
      </c>
      <c r="F87" t="s">
        <v>16</v>
      </c>
      <c r="G87">
        <v>1</v>
      </c>
      <c r="H87">
        <v>106</v>
      </c>
      <c r="I87" t="s">
        <v>17</v>
      </c>
      <c r="J87">
        <v>1.9</v>
      </c>
      <c r="K87">
        <v>1</v>
      </c>
      <c r="L87">
        <v>3</v>
      </c>
      <c r="M87">
        <v>2</v>
      </c>
      <c r="N87" t="s">
        <v>25</v>
      </c>
    </row>
    <row r="88" spans="1:14" x14ac:dyDescent="0.3">
      <c r="A88">
        <v>63</v>
      </c>
      <c r="B88" t="s">
        <v>14</v>
      </c>
      <c r="C88" t="s">
        <v>23</v>
      </c>
      <c r="D88">
        <v>130</v>
      </c>
      <c r="E88">
        <v>330</v>
      </c>
      <c r="F88" t="s">
        <v>16</v>
      </c>
      <c r="G88">
        <v>0</v>
      </c>
      <c r="H88">
        <v>132</v>
      </c>
      <c r="I88" t="s">
        <v>24</v>
      </c>
      <c r="J88">
        <v>1.8</v>
      </c>
      <c r="K88">
        <v>2</v>
      </c>
      <c r="L88">
        <v>3</v>
      </c>
      <c r="M88">
        <v>3</v>
      </c>
      <c r="N88" t="s">
        <v>25</v>
      </c>
    </row>
    <row r="89" spans="1:14" x14ac:dyDescent="0.3">
      <c r="A89">
        <v>66</v>
      </c>
      <c r="B89" t="s">
        <v>21</v>
      </c>
      <c r="C89" t="s">
        <v>23</v>
      </c>
      <c r="D89">
        <v>178</v>
      </c>
      <c r="E89">
        <v>228</v>
      </c>
      <c r="F89" t="s">
        <v>16</v>
      </c>
      <c r="G89">
        <v>1</v>
      </c>
      <c r="H89">
        <v>165</v>
      </c>
      <c r="I89" t="s">
        <v>24</v>
      </c>
      <c r="J89">
        <v>1</v>
      </c>
      <c r="K89">
        <v>1</v>
      </c>
      <c r="L89">
        <v>2</v>
      </c>
      <c r="M89">
        <v>3</v>
      </c>
      <c r="N89" t="s">
        <v>25</v>
      </c>
    </row>
    <row r="90" spans="1:14" x14ac:dyDescent="0.3">
      <c r="A90">
        <v>67</v>
      </c>
      <c r="B90" t="s">
        <v>14</v>
      </c>
      <c r="C90" t="s">
        <v>23</v>
      </c>
      <c r="D90">
        <v>125</v>
      </c>
      <c r="E90">
        <v>254</v>
      </c>
      <c r="F90" t="s">
        <v>16</v>
      </c>
      <c r="G90">
        <v>1</v>
      </c>
      <c r="H90">
        <v>163</v>
      </c>
      <c r="I90" t="s">
        <v>17</v>
      </c>
      <c r="J90">
        <v>0.2</v>
      </c>
      <c r="K90">
        <v>1</v>
      </c>
      <c r="L90">
        <v>2</v>
      </c>
      <c r="M90">
        <v>3</v>
      </c>
      <c r="N90" t="s">
        <v>25</v>
      </c>
    </row>
    <row r="91" spans="1:14" x14ac:dyDescent="0.3">
      <c r="A91">
        <v>68</v>
      </c>
      <c r="B91" t="s">
        <v>14</v>
      </c>
      <c r="C91" t="s">
        <v>23</v>
      </c>
      <c r="D91">
        <v>144</v>
      </c>
      <c r="E91">
        <v>193</v>
      </c>
      <c r="F91" t="s">
        <v>16</v>
      </c>
      <c r="G91">
        <v>1</v>
      </c>
      <c r="H91">
        <v>141</v>
      </c>
      <c r="I91" t="s">
        <v>17</v>
      </c>
      <c r="J91">
        <v>3.4</v>
      </c>
      <c r="K91">
        <v>1</v>
      </c>
      <c r="L91">
        <v>2</v>
      </c>
      <c r="M91">
        <v>3</v>
      </c>
      <c r="N9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pivot totale sesso</vt:lpstr>
      <vt:lpstr>pivot glicemia</vt:lpstr>
      <vt:lpstr>pivot pendenza</vt:lpstr>
      <vt:lpstr>pivot depressione</vt:lpstr>
      <vt:lpstr>df_1</vt:lpstr>
      <vt:lpstr>df_malattia</vt:lpstr>
      <vt:lpstr>PIVOT ANGINA TIPICA MALATO</vt:lpstr>
      <vt:lpstr>df_angina tipica_malato</vt:lpstr>
      <vt:lpstr>df_sano</vt:lpstr>
      <vt:lpstr>    </vt:lpstr>
      <vt:lpstr>PIVOT ANGINA TIPICA SANO</vt:lpstr>
      <vt:lpstr>df_angina tipica_sano</vt:lpstr>
      <vt:lpstr>prova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massimiliano di giuseppe</cp:lastModifiedBy>
  <dcterms:created xsi:type="dcterms:W3CDTF">2026-04-19T19:54:24Z</dcterms:created>
  <dcterms:modified xsi:type="dcterms:W3CDTF">2026-04-25T11:58:50Z</dcterms:modified>
</cp:coreProperties>
</file>